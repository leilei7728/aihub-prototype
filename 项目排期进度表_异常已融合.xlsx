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功能进度表"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<sst xmlns="http://schemas.openxmlformats.org/spreadsheetml/2006/main" count="281" uniqueCount="189">
  <si>
    <t>序号</t>
  </si>
  <si>
    <t>所属页面</t>
  </si>
  <si>
    <t>功能模块</t>
  </si>
  <si>
    <t>具体功能点</t>
  </si>
  <si>
    <t>功能与交互说明（正向 + 异常场景）</t>
  </si>
  <si>
    <t>预计完成日期</t>
  </si>
  <si>
    <t>实际开始日期</t>
  </si>
  <si>
    <t>实际完成日期</t>
  </si>
  <si>
    <t>历时（天）</t>
  </si>
  <si>
    <t>协同经办人</t>
  </si>
  <si>
    <t>进度状态</t>
  </si>
  <si>
    <t>备注 / 延期说明</t>
  </si>
  <si>
    <t>1</t>
  </si>
  <si>
    <t>登录页</t>
  </si>
  <si>
    <t>登录方式区</t>
  </si>
  <si>
    <t>1. 微信扫描登录
2. 手机验证码登录
3. 密码登录</t>
  </si>
  <si>
    <t>1. 支持微信扫描登录、手机验证码登录、密码登录。
2. 登录前需勾选用户协议与隐私协议。
3. 首次同意后，后台记录首次同意时间。
异常：1. 验证码输入错误时，就地提示错误原因，并支持重新输入或重新获取验证码。
2. 登录请求失败或服务不可用时，提示检查网络后重试。
3. 微信扫码二维码过期时，提示刷新二维码后继续登录。</t>
  </si>
  <si>
    <t>2</t>
  </si>
  <si>
    <t>Tokens 管理页</t>
  </si>
  <si>
    <t>页顶部全局信息栏</t>
  </si>
  <si>
    <t>1. AI 工具配置教程入口
2. 今日剩余次数查询
3. 可使用余额查询</t>
  </si>
  <si>
    <r>
      <rPr>
        <sz val="10"/>
        <rFont val="Microsoft YaHei UI"/>
        <charset val="134"/>
      </rPr>
      <t xml:space="preserve">1. 点击【AI 工具配置教程】进入操作指引，查看安装与配置步骤。
2. 鼠标悬浮在【今日剩余次数】【可使用余额】旁问号上，显示字段说明。
3. 实时展示当前账号剩余调用次数和可用余额。
</t>
    </r>
    <r>
      <rPr>
        <b/>
        <sz val="10"/>
        <rFont val="Microsoft YaHei UI"/>
        <charset val="134"/>
      </rPr>
      <t xml:space="preserve">异常：
</t>
    </r>
    <r>
      <rPr>
        <sz val="10"/>
        <rFont val="Microsoft YaHei UI"/>
        <charset val="134"/>
      </rPr>
      <t>1.未登录时仍可看说明文案，但余额和次数不展示真实数据。</t>
    </r>
  </si>
  <si>
    <t/>
  </si>
  <si>
    <t>3</t>
  </si>
  <si>
    <t>左侧侧边导航栏</t>
  </si>
  <si>
    <t>1. 菜单页面切换
2. 个人中心入口
3. 登录 / 注册入口</t>
  </si>
  <si>
    <r>
      <rPr>
        <sz val="10"/>
        <rFont val="Microsoft YaHei UI"/>
        <charset val="134"/>
      </rPr>
      <t xml:space="preserve">1. 点击左侧菜单完成页面切换。
　1.1 点击【Tokens 管理】进入 Tokens 管理页。
　1.2 点击【AI工具管理】进入 AI 工具管理页。
　1.3 点击【模型供应商】进入模型供应商页。
　1.4 点击【订阅 / 充值】进入订阅 / 充值页。
　1.5 点击【订单中心】进入订单中心页。
2. 点击左下角【个人中心】进入账号资料页。
3. 未登录状态点击【登录 / 注册】进入账号体系。
</t>
    </r>
    <r>
      <rPr>
        <b/>
        <sz val="10"/>
        <rFont val="Microsoft YaHei UI"/>
        <charset val="134"/>
      </rPr>
      <t>异常：</t>
    </r>
    <r>
      <rPr>
        <sz val="10"/>
        <rFont val="Microsoft YaHei UI"/>
        <charset val="134"/>
      </rPr>
      <t xml:space="preserve">
1. 未登录访问受限页面时先弹出登录提示。
2. 登录入口无响应时提示检查网络后重试。</t>
    </r>
  </si>
  <si>
    <t>4</t>
  </si>
  <si>
    <t>AI 模型卡片区</t>
  </si>
  <si>
    <t>1. 六张模型卡片基础信息展示
2. 主用模型与上次使用时间展示</t>
  </si>
  <si>
    <r>
      <t xml:space="preserve">1. 展示 6 张 AI 工具卡片。Codex、 Claude、OpenCode、 Gemini CLI、OpenClaw、Hermes；
2. 每张卡片展示基础状态信息。
　2.1 模型名称
　2.2 主用模型
　2.3 上次使用时间
3. 用户下载安装 WeTokens 后，系统检测电脑上各 AI 工具的安装状态。
　3.1 已安装工具显示【打开启用】按钮
　3.2 未安装工具显示【下载安装】按钮
</t>
    </r>
    <r>
      <rPr>
        <b/>
        <sz val="10"/>
        <rFont val="Microsoft YaHei UI"/>
        <charset val="134"/>
      </rPr>
      <t>异常：</t>
    </r>
    <r>
      <rPr>
        <sz val="10"/>
        <rFont val="Microsoft YaHei UI"/>
        <charset val="134"/>
      </rPr>
      <t xml:space="preserve">
1. 最近使用时间缺失时显示【未使用】。
2. 主模型为空或未获取到数据时显示【--】。</t>
    </r>
  </si>
  <si>
    <t>5</t>
  </si>
  <si>
    <t>1. AI 工具安装状态检测
2. AI 工具下载安装 / 打开启用
3. 模型可用性检测与引导</t>
  </si>
  <si>
    <r>
      <t xml:space="preserve">1. 用户下载安装 WeTokens 后，系统检测电脑上是否已安装对应 AI 工具；已安装工具按钮更新为【打开启用】，未安装工具显示【下载安装】。
2. 点击【下载安装】后执行工具下载与安装，安装完成后按钮状态更新为【打开启用】。
3. 点击【打开启用】时，系统检测当前工具是否已有可用模型；未配置时引导前往订阅 / 充值或配置模型，已配置时提示可直接使用。
</t>
    </r>
    <r>
      <rPr>
        <b/>
        <sz val="10"/>
        <rFont val="Microsoft YaHei UI"/>
        <charset val="134"/>
      </rPr>
      <t>异常：</t>
    </r>
    <r>
      <rPr>
        <sz val="10"/>
        <rFont val="Microsoft YaHei UI"/>
        <charset val="134"/>
      </rPr>
      <t xml:space="preserve">
1. 安装失败时明确提示失败原因，并支持重新下载安装或查看安装帮助。
2. 检测到快捷方式存在但本地执行文件缺失时，提示安装文件异常，并支持重新安装。
3. 工具已打开但没有可用模型时，引导前往订阅 / 充值或配置模型。
4. 检测到已有可用模型时，提示可直接录入 API Key 并继续接入平台。</t>
    </r>
  </si>
  <si>
    <t>7</t>
  </si>
  <si>
    <t>下方数据总览区</t>
  </si>
  <si>
    <t>1. 工具使用统计卡片
2. 工具维度汇总展示</t>
  </si>
  <si>
    <r>
      <rPr>
        <sz val="10"/>
        <rFont val="Microsoft YaHei UI"/>
        <charset val="134"/>
      </rPr>
      <t xml:space="preserve">1. 登录后展示工具使用统计卡片，按工具查看使用概况。
2. 可看到不同工具当前使用状态、活跃情况或聚合统计。
</t>
    </r>
    <r>
      <rPr>
        <b/>
        <sz val="10"/>
        <rFont val="Microsoft YaHei UI"/>
        <charset val="134"/>
      </rPr>
      <t>异常：</t>
    </r>
    <r>
      <rPr>
        <sz val="10"/>
        <rFont val="Microsoft YaHei UI"/>
        <charset val="134"/>
      </rPr>
      <t>1. 无使用数据时显示空状态说明。
2. 数据接口超时或失败时展示加载失败提示。</t>
    </r>
  </si>
  <si>
    <t>8</t>
  </si>
  <si>
    <t>用量趋势分析区</t>
  </si>
  <si>
    <t>1. 总览 / 消耗明细切换
2. 时间范围切换</t>
  </si>
  <si>
    <r>
      <t xml:space="preserve">1. 支持切换数据视图。
　1.1 点击【总览】查看整体tokens消耗概况。
   1.2 点击【供应商】查看供应商的tokens消耗概况。
　1.3 点击【消耗明细】查看明细记录，按照模型名称维度来统计；
2. 支持切换时间范围。今天、近 7 天、近 30 天、自定义选择时间范围；
3. 展示统计结果。 Tokens 合计、趋势图、汇总信息
</t>
    </r>
    <r>
      <rPr>
        <b/>
        <sz val="10"/>
        <rFont val="Microsoft YaHei UI"/>
        <charset val="134"/>
      </rPr>
      <t xml:space="preserve">异常：
</t>
    </r>
    <r>
      <rPr>
        <sz val="10"/>
        <rFont val="Microsoft YaHei UI"/>
        <charset val="134"/>
      </rPr>
      <t>1. 切换后没有匹配数据时显示空结果。
2. 图表加载失败时提示刷新重试。
3. 时间范围切换异常时保留当前已加载内容。</t>
    </r>
  </si>
  <si>
    <t>9</t>
  </si>
  <si>
    <t>AI工具管理页</t>
  </si>
  <si>
    <t>左侧工具列表区</t>
  </si>
  <si>
    <t>1. 工具列表展示
2. 工具焦点切换
3.本地代理 开启/关闭功能
4.更换模型
5.检测通道
6.启用/切换供应商</t>
  </si>
  <si>
    <r>
      <t xml:space="preserve">1. 展示平台支持的 AI 工具列表。Codex、 Claude、OpenCode、 Gemini CLI、OpenClaw、Hermes；
2. 显示工具版本，桌面版or cli、工具版本号、和工具简介；
3.默认开启本地代理，关闭时弹窗提醒“关闭后，请求将不再经由 CC Switch 转发，直接连接供应商。”
4.无新增外部供应商时，显示【去添加供应商】按钮，单击跳转到【模型供应商】页面，并弹【添加供应商】弹窗页面；
5.更换模型：在ai工具管理页中，可对单个工具进行模型配置，claude使用映射模型配置弹窗，其他工具用普通模型配置弹窗；配置成功需要给 toast提示【已保存“工具名称”的x个模型】
6.检测：用户点击检测，系统请求平台接口测试连通、统计请求耗时；连通正常弹出提示【连接正常 (耗时数值 ms)】
7.启用/使用中：用户点击启，启用成提示【重启当前 AI 工具后即可生效
已切换至 Google AI，连接正常 (1631ms)】，启用失败需提示失败原因；
</t>
    </r>
    <r>
      <rPr>
        <b/>
        <sz val="10"/>
        <rFont val="Microsoft YaHei UI"/>
        <charset val="134"/>
      </rPr>
      <t xml:space="preserve">异常：
</t>
    </r>
    <r>
      <rPr>
        <sz val="10"/>
        <rFont val="Microsoft YaHei UI"/>
        <charset val="134"/>
      </rPr>
      <t>1.检测：用户点击检测</t>
    </r>
    <r>
      <rPr>
        <b/>
        <sz val="10"/>
        <rFont val="Microsoft YaHei UI"/>
        <charset val="134"/>
      </rPr>
      <t xml:space="preserve">
  </t>
    </r>
    <r>
      <rPr>
        <sz val="10"/>
        <rFont val="Microsoft YaHei UI"/>
        <charset val="134"/>
      </rPr>
      <t>1.1接口无法连通：提示连接失败，校验不通过，通道不可用；
  1.2.请求超时：提示检测超时需重试；
  1.3Key 失效时：提示连接异常请重新配置供应商。</t>
    </r>
  </si>
  <si>
    <t>12</t>
  </si>
  <si>
    <t>模型供应商页</t>
  </si>
  <si>
    <t>已接入供应商列表区</t>
  </si>
  <si>
    <t>1. 供应商连接信息展示
2. 配置入口展示</t>
  </si>
  <si>
    <r>
      <t xml:space="preserve">1. 展示已接入供应商名称、连接状态、已启用模型数量。
2. 提供查看配置、修改配置等入口。
3. 启用供应商成功后，展示启用结果与检测反馈，并提示重启当前 AI 工具后生效。
</t>
    </r>
    <r>
      <rPr>
        <b/>
        <sz val="10"/>
        <rFont val="Microsoft YaHei UI"/>
        <charset val="134"/>
      </rPr>
      <t>异常：</t>
    </r>
    <r>
      <rPr>
        <sz val="10"/>
        <rFont val="Microsoft YaHei UI"/>
        <charset val="134"/>
      </rPr>
      <t xml:space="preserve">
1. 供应商余额小于等于10元时，，提示【当前余额不足 10 元
当前余额不足 10 元，继续使用可能导致模型请求失败。】
按钮：我知道了    去订阅/充值</t>
    </r>
  </si>
  <si>
    <t>13</t>
  </si>
  <si>
    <t>添加供应商入口</t>
  </si>
  <si>
    <t>添加供应商按钮</t>
  </si>
  <si>
    <r>
      <t xml:space="preserve">1. 点击【添加供应商】打开新增供应商流程。详细信息和交互看原型；
</t>
    </r>
    <r>
      <rPr>
        <b/>
        <sz val="10"/>
        <rFont val="Microsoft YaHei UI"/>
        <charset val="134"/>
      </rPr>
      <t xml:space="preserve">异常：
</t>
    </r>
    <r>
      <rPr>
        <sz val="10"/>
        <rFont val="Microsoft YaHei UI"/>
        <charset val="134"/>
      </rPr>
      <t>1. 未登录点击时先弹出登录提示。</t>
    </r>
  </si>
  <si>
    <t>14</t>
  </si>
  <si>
    <t>添加供应商弹窗</t>
  </si>
  <si>
    <t>Step1 基础信息填写区</t>
  </si>
  <si>
    <t>1. 供应商名称、备注、官网地址
2. 请求地址与 API Key</t>
  </si>
  <si>
    <r>
      <rPr>
        <sz val="10"/>
        <rFont val="Microsoft YaHei UI"/>
        <charset val="134"/>
      </rPr>
      <t xml:space="preserve">1. 支持两种新增方式。
　1.1 选择预设供应商模板
　1.2 自定义录入供应商信息
2. 填写基础配置项。
　2.1 供应商名称
　2.2 备注
　2.3 官网地址
　2.4 请求地址
　2.5 API Key
3. 点击【验证并拉取模型】进入下一步。
</t>
    </r>
    <r>
      <rPr>
        <b/>
        <sz val="10"/>
        <rFont val="Microsoft YaHei UI"/>
        <charset val="134"/>
      </rPr>
      <t>异常：</t>
    </r>
    <r>
      <rPr>
        <sz val="10"/>
        <rFont val="Microsoft YaHei UI"/>
        <charset val="134"/>
      </rPr>
      <t>1. 供应商名称或 API Key 为空时禁止下一步。
2. 请求地址格式错误时提示修正。
3. Key 校验失败时保留已填内容，便于修改后重试。</t>
    </r>
  </si>
  <si>
    <t>15</t>
  </si>
  <si>
    <t>Step2 模型选择区</t>
  </si>
  <si>
    <t>1. 模型拉取结果展示
2. 启用模型勾选</t>
  </si>
  <si>
    <r>
      <t xml:space="preserve">1. 验证成功后展示模型结果。系统默认填充4个模型，用户可以更换；
2.保存后改供应商配置将同步至所有AI工具中；
</t>
    </r>
    <r>
      <rPr>
        <b/>
        <sz val="10"/>
        <rFont val="Microsoft YaHei UI"/>
        <charset val="134"/>
      </rPr>
      <t xml:space="preserve">异常：
</t>
    </r>
    <r>
      <rPr>
        <sz val="10"/>
        <rFont val="Microsoft YaHei UI"/>
        <charset val="134"/>
      </rPr>
      <t>1. 拉取模型失败时提示【模型拉取失败，请重新验证或检查供应商配置。】</t>
    </r>
  </si>
  <si>
    <t>17</t>
  </si>
  <si>
    <t>订阅 / 充值页</t>
  </si>
  <si>
    <t>顶部切换栏</t>
  </si>
  <si>
    <t>1. 订阅制 Tab
2. 按量充值 Tab
3. 订单记录入口</t>
  </si>
  <si>
    <r>
      <rPr>
        <sz val="10"/>
        <rFont val="Microsoft YaHei UI"/>
        <charset val="134"/>
      </rPr>
      <t xml:space="preserve">1. 点击【订阅制】【按量充值】切换购买模式。
2. 点击【订单记录】进入订单列表页。
</t>
    </r>
    <r>
      <rPr>
        <b/>
        <sz val="10"/>
        <rFont val="Microsoft YaHei UI"/>
        <charset val="134"/>
      </rPr>
      <t>异常：</t>
    </r>
    <r>
      <rPr>
        <sz val="10"/>
        <rFont val="Microsoft YaHei UI"/>
        <charset val="134"/>
      </rPr>
      <t>1. Tab 切换失败时保留当前内容并提示重试。
2. 未登录访问订单记录时先弹登录提示。</t>
    </r>
  </si>
  <si>
    <t>18</t>
  </si>
  <si>
    <t>订阅套餐选择区</t>
  </si>
  <si>
    <t>1. Lite / Pro / Pro Plus / Ultra 套餐选择
2. 套餐信息展示</t>
  </si>
  <si>
    <r>
      <rPr>
        <sz val="10"/>
        <rFont val="Microsoft YaHei UI"/>
        <charset val="134"/>
      </rPr>
      <t xml:space="preserve">1. 展示套餐核心信息。
　1.1 套餐价格
　1.2 有效期
　1.3 每日次数
　1.4 身份徽章
2. 点击不同套餐后，右侧支付区同步更新已选套餐和价格。
</t>
    </r>
    <r>
      <rPr>
        <b/>
        <sz val="10"/>
        <rFont val="Microsoft YaHei UI"/>
        <charset val="134"/>
      </rPr>
      <t>异常：</t>
    </r>
    <r>
      <rPr>
        <sz val="10"/>
        <rFont val="Microsoft YaHei UI"/>
        <charset val="134"/>
      </rPr>
      <t>1. 未选中任何套餐时不能直接支付。
2. 套餐信息异常时提示刷新后重试。</t>
    </r>
  </si>
  <si>
    <t>19</t>
  </si>
  <si>
    <t>订阅规则说明区</t>
  </si>
  <si>
    <t>1. 规则文案展示
2. 退款示例展开
3. 订阅计量表展开</t>
  </si>
  <si>
    <r>
      <rPr>
        <sz val="10"/>
        <rFont val="Microsoft YaHei UI"/>
        <charset val="134"/>
      </rPr>
      <t xml:space="preserve">1. 展示订阅规则说明。
　1.1 有效期
　1.2 次日清零
　1.3 余额兜底
　1.4 退款规则
2. 点击【查看示例】展开退款计算说明。
3. 点击【查看详细计费档位与可用模型】展开订阅计量表。
</t>
    </r>
    <r>
      <rPr>
        <b/>
        <sz val="10"/>
        <rFont val="Microsoft YaHei UI"/>
        <charset val="134"/>
      </rPr>
      <t>异常：</t>
    </r>
    <r>
      <rPr>
        <sz val="10"/>
        <rFont val="Microsoft YaHei UI"/>
        <charset val="134"/>
      </rPr>
      <t>1. 展开内容加载失败时提示稍后重试。
2. 数据缺失时至少保留基础规则文案。</t>
    </r>
  </si>
  <si>
    <t>20</t>
  </si>
  <si>
    <t>订阅支付区</t>
  </si>
  <si>
    <t>1. 微信 / 支付宝切换
2. 二维码支付
3. 自动续费开关</t>
  </si>
  <si>
    <r>
      <t xml:space="preserve">1. 支持切换支付方式。
　1.1 微信支付
　1.2 支付宝
2. 展示支付信息。
　2.1 已选套餐
　2.2 应付金额
　2.3 二维码
3. 支持开启或关闭自动续费。
</t>
    </r>
    <r>
      <rPr>
        <b/>
        <sz val="10"/>
        <rFont val="Microsoft YaHei UI"/>
        <charset val="134"/>
      </rPr>
      <t>异常：</t>
    </r>
    <r>
      <rPr>
        <sz val="10"/>
        <rFont val="Microsoft YaHei UI"/>
        <charset val="134"/>
      </rPr>
      <t>1. 订单创建失败、支付超时、渠道异常或用户主动取消时，统一提示支付未完成，并支持重新支付。
2. 支持跳转订单中心查看状态，避免重复扣费疑虑。</t>
    </r>
  </si>
  <si>
    <t>21</t>
  </si>
  <si>
    <t>按量充值套餐区</t>
  </si>
  <si>
    <t>1. 充值档位选择
2. 到账余额展示</t>
  </si>
  <si>
    <r>
      <rPr>
        <sz val="10"/>
        <rFont val="Microsoft YaHei UI"/>
        <charset val="134"/>
      </rPr>
      <t xml:space="preserve">1. 支持选择充值档位。
　1.1 50 元
　1.2 100 元
　1.3 500 元
2. 展示充值结果说明。
　2.1 到账余额
　2.2 赠送金额
　2.3 计费说明
</t>
    </r>
    <r>
      <rPr>
        <b/>
        <sz val="10"/>
        <rFont val="Microsoft YaHei UI"/>
        <charset val="134"/>
      </rPr>
      <t>异常：</t>
    </r>
    <r>
      <rPr>
        <sz val="10"/>
        <rFont val="Microsoft YaHei UI"/>
        <charset val="134"/>
      </rPr>
      <t>1. 充值档位未选中时不可继续支付。
2. 价格配置异常时提示刷新。</t>
    </r>
  </si>
  <si>
    <t>22</t>
  </si>
  <si>
    <t>按量充值支付区</t>
  </si>
  <si>
    <t>微信支付
支付宝支付</t>
  </si>
  <si>
    <r>
      <t xml:space="preserve">1. 同一个收款二维码支持。 微信支付和支付宝支付；
</t>
    </r>
    <r>
      <rPr>
        <b/>
        <sz val="10"/>
        <rFont val="Microsoft YaHei UI"/>
        <charset val="134"/>
      </rPr>
      <t>异常：</t>
    </r>
    <r>
      <rPr>
        <sz val="10"/>
        <rFont val="Microsoft YaHei UI"/>
        <charset val="134"/>
      </rPr>
      <t xml:space="preserve">
1. 订单创建失败、支付超时、渠道异常或用户主动取消时，统一提示支付未完成，并支持重新支付。
2. 支持跳转订单中心查看状态；</t>
    </r>
  </si>
  <si>
    <t>23</t>
  </si>
  <si>
    <t>订单中心页</t>
  </si>
  <si>
    <t>顶部筛选区</t>
  </si>
  <si>
    <t>1. 订单类型筛选
2. 订单状态筛选
3. 申请开票按钮</t>
  </si>
  <si>
    <r>
      <rPr>
        <sz val="10"/>
        <rFont val="Microsoft YaHei UI"/>
        <charset val="134"/>
      </rPr>
      <t xml:space="preserve">1. 支持切换订单类型。
　1.1 全部
　1.2 订阅订单
　1.3 充值订单
2. 支持按订单状态筛选。
　2.1 待支付
　2.2 支付成功
　2.3 已退款
3. 点击【申请开票】进入开票流程。
</t>
    </r>
    <r>
      <rPr>
        <b/>
        <sz val="10"/>
        <rFont val="Microsoft YaHei UI"/>
        <charset val="134"/>
      </rPr>
      <t>异常：</t>
    </r>
    <r>
      <rPr>
        <sz val="10"/>
        <rFont val="Microsoft YaHei UI"/>
        <charset val="134"/>
      </rPr>
      <t>1. 没有匹配订单时显示空列表。
2. 筛选失败时提示刷新页面重试。</t>
    </r>
  </si>
  <si>
    <t>24</t>
  </si>
  <si>
    <t>订单表格区</t>
  </si>
  <si>
    <t>1. 订单列表展示
2. 批量勾选开票</t>
  </si>
  <si>
    <r>
      <rPr>
        <sz val="10"/>
        <rFont val="Microsoft YaHei UI"/>
        <charset val="134"/>
      </rPr>
      <t xml:space="preserve">1. 展示订单列表字段。
　1.1 订单编号
　1.2 套餐
　1.3 支付方式
　1.4 下单时间
　1.5 有效期
　1.6 订单状态
　1.7 发票状态
2. 支持勾选可开票订单后批量申请发票。
</t>
    </r>
    <r>
      <rPr>
        <b/>
        <sz val="10"/>
        <rFont val="Microsoft YaHei UI"/>
        <charset val="134"/>
      </rPr>
      <t>异常：</t>
    </r>
    <r>
      <rPr>
        <sz val="10"/>
        <rFont val="Microsoft YaHei UI"/>
        <charset val="134"/>
      </rPr>
      <t>1. 未支付或已退款订单不可勾选开票。
2. 表格数据加载失败时显示错误占位。</t>
    </r>
  </si>
  <si>
    <t>25</t>
  </si>
  <si>
    <t>我的成就页</t>
  </si>
  <si>
    <t>顶部概览区</t>
  </si>
  <si>
    <t>1. 累计加入时长
2. 已点亮成就数
3. 当前进度完成度</t>
  </si>
  <si>
    <r>
      <rPr>
        <sz val="10"/>
        <rFont val="Microsoft YaHei UI"/>
        <charset val="134"/>
      </rPr>
      <t xml:space="preserve">1. 展示成长统计信息。
　1.1 累计加入天数
　1.2 点亮成就数量
　1.3 进度完成度
2. 用于快速了解成长状态。
</t>
    </r>
    <r>
      <rPr>
        <b/>
        <sz val="10"/>
        <rFont val="Microsoft YaHei UI"/>
        <charset val="134"/>
      </rPr>
      <t>异常：</t>
    </r>
    <r>
      <rPr>
        <sz val="10"/>
        <rFont val="Microsoft YaHei UI"/>
        <charset val="134"/>
      </rPr>
      <t>1. 新账号没有成就时显示 0 和引导文案。
2. 统计数据加载失败时显示默认值。</t>
    </r>
  </si>
  <si>
    <t>26</t>
  </si>
  <si>
    <t>勋章奖励区</t>
  </si>
  <si>
    <t>1. 勋章列表展示
2. 复制成就文案
3. 分享当前成就</t>
  </si>
  <si>
    <r>
      <rPr>
        <sz val="10"/>
        <rFont val="Microsoft YaHei UI"/>
        <charset val="134"/>
      </rPr>
      <t xml:space="preserve">1. 展示当前账号已获得或正在推进的勋章。
2. 点击复制文案可复制成就描述。
3. 点击分享当前成就调用系统分享能力。
</t>
    </r>
    <r>
      <rPr>
        <b/>
        <sz val="10"/>
        <rFont val="Microsoft YaHei UI"/>
        <charset val="134"/>
      </rPr>
      <t>异常：</t>
    </r>
    <r>
      <rPr>
        <sz val="10"/>
        <rFont val="Microsoft YaHei UI"/>
        <charset val="134"/>
      </rPr>
      <t>1. 无可展示勋章时显示空状态。
2. 当前设备不支持系统分享时降级为复制文案。</t>
    </r>
  </si>
  <si>
    <t>27</t>
  </si>
  <si>
    <t>个人中心页</t>
  </si>
  <si>
    <t>账号资料概览区</t>
  </si>
  <si>
    <t>1. 当前会员信息
2. 今日已用 / 剩余次数
3. 账户余额与充值入口</t>
  </si>
  <si>
    <r>
      <rPr>
        <sz val="10"/>
        <rFont val="Microsoft YaHei UI"/>
        <charset val="134"/>
      </rPr>
      <t xml:space="preserve">1. 展示会员使用概况。
　1.1 会员档位
　1.2 有效期
　1.3 今日已用次数
　1.4 剩余次数
　1.5 进度条
2. 展示资金入口信息。
　2.1 账户余额
　2.2 充值入口
3. 未订阅时改为展示订阅引导和新人福利入口。
</t>
    </r>
    <r>
      <rPr>
        <b/>
        <sz val="10"/>
        <rFont val="Microsoft YaHei UI"/>
        <charset val="134"/>
      </rPr>
      <t>异常：</t>
    </r>
    <r>
      <rPr>
        <sz val="10"/>
        <rFont val="Microsoft YaHei UI"/>
        <charset val="134"/>
      </rPr>
      <t>1. 用量或余额数据加载失败时显示默认占位。
2. 余额过低时提示去充值。</t>
    </r>
  </si>
  <si>
    <t>28</t>
  </si>
  <si>
    <t>资料编辑区</t>
  </si>
  <si>
    <t>1. 昵称修改
2. 绑定手机号修改
3. 登录密码修改</t>
  </si>
  <si>
    <r>
      <rPr>
        <sz val="10"/>
        <rFont val="Microsoft YaHei UI"/>
        <charset val="134"/>
      </rPr>
      <t xml:space="preserve">1. 支持修改昵称并保存。
2. 支持修改绑定手机号并通过验证码确认。
3. 支持修改登录密码。
</t>
    </r>
    <r>
      <rPr>
        <b/>
        <sz val="10"/>
        <rFont val="Microsoft YaHei UI"/>
        <charset val="134"/>
      </rPr>
      <t>异常：</t>
    </r>
    <r>
      <rPr>
        <sz val="10"/>
        <rFont val="Microsoft YaHei UI"/>
        <charset val="134"/>
      </rPr>
      <t>1. 保存资料失败时保留用户输入并提示重试。
2. 手机号格式错误、验证码错误时不允许提交。
3. 新密码不一致或不符合规则时阻止保存。</t>
    </r>
  </si>
  <si>
    <t>29</t>
  </si>
  <si>
    <t>API Key 管理区</t>
  </si>
  <si>
    <t>1. API Key 展示 / 复制 / 重置
2. Base URL 展示
3. 快速接入说明</t>
  </si>
  <si>
    <r>
      <rPr>
        <sz val="10"/>
        <rFont val="Microsoft YaHei UI"/>
        <charset val="134"/>
      </rPr>
      <t xml:space="preserve">1. 支持管理平台 API Key。
　1.1 显示
　1.2 隐藏
　1.3 复制
　1.4 重置
2. 展示可复制的接口地址。
　2.1 OpenAI Base URL
　2.2 Anthropic Base URL
3. 提供快速接入说明。
　3.1 Claude Desktop
　3.2 Codex CLI
　3.3 OpenCode
</t>
    </r>
    <r>
      <rPr>
        <b/>
        <sz val="10"/>
        <rFont val="Microsoft YaHei UI"/>
        <charset val="134"/>
      </rPr>
      <t>异常：</t>
    </r>
    <r>
      <rPr>
        <sz val="10"/>
        <rFont val="Microsoft YaHei UI"/>
        <charset val="134"/>
      </rPr>
      <t>1. 未订阅且余额为 0 时提示 Key 暂不可用。
2. 重置 Key 前需二次确认，避免误操作。
3. 复制失败时提示用户手动复制。</t>
    </r>
  </si>
  <si>
    <t>30</t>
  </si>
  <si>
    <t>订单摘要区</t>
  </si>
  <si>
    <t>1. 累计订单
2. 可申请发票数量
3. 生效中的套餐包
4. 最近订单与续费节点</t>
  </si>
  <si>
    <r>
      <rPr>
        <sz val="10"/>
        <rFont val="Microsoft YaHei UI"/>
        <charset val="134"/>
      </rPr>
      <t xml:space="preserve">1. 展示累计订单数、可申请发票数、生效中的套餐包数量。
2. 展示最近一笔订单和下一个续费提醒。
3. 提供查看订单和继续续费入口。
</t>
    </r>
    <r>
      <rPr>
        <b/>
        <sz val="10"/>
        <rFont val="Microsoft YaHei UI"/>
        <charset val="134"/>
      </rPr>
      <t>异常：</t>
    </r>
    <r>
      <rPr>
        <sz val="10"/>
        <rFont val="Microsoft YaHei UI"/>
        <charset val="134"/>
      </rPr>
      <t>1. 没有订单时显示默认空状态。
2. 没有续费节点时显示暂无提醒。</t>
    </r>
  </si>
  <si>
    <t>31</t>
  </si>
  <si>
    <t>通知设置区</t>
  </si>
  <si>
    <t>1. Tokens 不足提醒
2. 路由异常提醒
3. 成就升级提醒</t>
  </si>
  <si>
    <r>
      <rPr>
        <sz val="10"/>
        <rFont val="Microsoft YaHei UI"/>
        <charset val="134"/>
      </rPr>
      <t xml:space="preserve">1. 支持分别开启或关闭三类提醒。
2. 修改后立即保存当前开关状态。
</t>
    </r>
    <r>
      <rPr>
        <b/>
        <sz val="10"/>
        <rFont val="Microsoft YaHei UI"/>
        <charset val="134"/>
      </rPr>
      <t>异常：</t>
    </r>
    <r>
      <rPr>
        <sz val="10"/>
        <rFont val="Microsoft YaHei UI"/>
        <charset val="134"/>
      </rPr>
      <t>1. 保存提醒设置失败时回滚原状态并提示重试。
2. 未开启提醒权限时提示用户检查系统设置。</t>
    </r>
  </si>
  <si>
    <t>32</t>
  </si>
  <si>
    <t>全局弹窗</t>
  </si>
  <si>
    <t>登录拦截弹窗</t>
  </si>
  <si>
    <t>去登录 / 注册引导</t>
  </si>
  <si>
    <r>
      <rPr>
        <sz val="10"/>
        <rFont val="Microsoft YaHei UI"/>
        <charset val="134"/>
      </rPr>
      <t xml:space="preserve">1. 未登录访问受限能力时弹出提示。
2. 点击去登录进入账号流程，点击暂不登录返回当前页面。
</t>
    </r>
    <r>
      <rPr>
        <b/>
        <sz val="10"/>
        <rFont val="Microsoft YaHei UI"/>
        <charset val="134"/>
      </rPr>
      <t>异常：</t>
    </r>
    <r>
      <rPr>
        <sz val="10"/>
        <rFont val="Microsoft YaHei UI"/>
        <charset val="134"/>
      </rPr>
      <t>1. 登录弹窗打开失败时提示稍后再试。
2. 取消登录后应清空挂起动作，避免误执行。</t>
    </r>
  </si>
  <si>
    <t>33</t>
  </si>
  <si>
    <t>Tokens 不足弹窗</t>
  </si>
  <si>
    <t>1. 立即充值
2. 查看低成本模型建议</t>
  </si>
  <si>
    <r>
      <rPr>
        <sz val="10"/>
        <rFont val="Microsoft YaHei UI"/>
        <charset val="134"/>
      </rPr>
      <t xml:space="preserve">1. 当本次请求所需额度高于当前可用次数或余额时弹出提醒。
2. 提供立即充值和查看低成本模型建议两个动作。
</t>
    </r>
    <r>
      <rPr>
        <b/>
        <sz val="10"/>
        <rFont val="Microsoft YaHei UI"/>
        <charset val="134"/>
      </rPr>
      <t>异常：</t>
    </r>
    <r>
      <rPr>
        <sz val="10"/>
        <rFont val="Microsoft YaHei UI"/>
        <charset val="134"/>
      </rPr>
      <t>1. 用户关闭弹窗后返回原流程，不强制跳转。
2. 跳转充值页失败时提示稍后重试。</t>
    </r>
  </si>
  <si>
    <t>34</t>
  </si>
  <si>
    <t>支付成功弹窗</t>
  </si>
  <si>
    <t>1. 订阅成功内容
2. 充值成功内容</t>
  </si>
  <si>
    <r>
      <rPr>
        <sz val="10"/>
        <rFont val="Microsoft YaHei UI"/>
        <charset val="134"/>
      </rPr>
      <t xml:space="preserve">1. 订阅成功后展示套餐、每日次数、有效期、今日剩余次数和自动续费说明。
2. 充值成功后展示本次充值金额和当前余额。
</t>
    </r>
    <r>
      <rPr>
        <b/>
        <sz val="10"/>
        <rFont val="Microsoft YaHei UI"/>
        <charset val="134"/>
      </rPr>
      <t>异常：</t>
    </r>
    <r>
      <rPr>
        <sz val="10"/>
        <rFont val="Microsoft YaHei UI"/>
        <charset val="134"/>
      </rPr>
      <t>1. 续费场景下需额外提示新周期顺延，不与当前周期叠加。
2. 成功信息加载异常时至少保留核心成功提示。</t>
    </r>
  </si>
  <si>
    <t>36</t>
  </si>
  <si>
    <t>绑定银行卡弹窗</t>
  </si>
  <si>
    <t>1. 持卡人信息录入
2. 银行卡号录入
3. 验证码确认</t>
  </si>
  <si>
    <r>
      <rPr>
        <sz val="10"/>
        <rFont val="Microsoft YaHei UI"/>
        <charset val="134"/>
      </rPr>
      <t xml:space="preserve">1. 支持储蓄卡和信用卡两种类型。
2. 录入持卡人姓名、银行卡号、预留手机号，信用卡场景补充 CVV。
3. 输入验证码后完成绑定。
</t>
    </r>
    <r>
      <rPr>
        <b/>
        <sz val="10"/>
        <rFont val="Microsoft YaHei UI"/>
        <charset val="134"/>
      </rPr>
      <t>异常：</t>
    </r>
    <r>
      <rPr>
        <sz val="10"/>
        <rFont val="Microsoft YaHei UI"/>
        <charset val="134"/>
      </rPr>
      <t>1. 卡号格式错误或验证码错误时不允许绑定。
2. 获取验证码失败时允许再次发送。
3. 绑卡失败时提示原因并保留已填内容。</t>
    </r>
  </si>
  <si>
    <t>37</t>
  </si>
  <si>
    <t>工具安装进度弹窗</t>
  </si>
  <si>
    <t>1. 安装包下载进度
2. 安装完成按钮</t>
  </si>
  <si>
    <r>
      <rPr>
        <sz val="10"/>
        <rFont val="Microsoft YaHei UI"/>
        <charset val="134"/>
      </rPr>
      <t xml:space="preserve">1. 展示当前下载进度、文件名和已下载大小。
2. 下载完成后允许点击安装完成进入后续流程。
</t>
    </r>
    <r>
      <rPr>
        <b/>
        <sz val="10"/>
        <rFont val="Microsoft YaHei UI"/>
        <charset val="134"/>
      </rPr>
      <t>异常：</t>
    </r>
    <r>
      <rPr>
        <sz val="10"/>
        <rFont val="Microsoft YaHei UI"/>
        <charset val="134"/>
      </rPr>
      <t>1. 下载失败时提示网络异常并允许重试。
2. 下载未完成前不应误展示安装成功。</t>
    </r>
  </si>
  <si>
    <t>38</t>
  </si>
  <si>
    <t>AI 工具快速配置指南</t>
  </si>
  <si>
    <t>1. 安装工具
2. 获取 Key
3. 配置模型
4. 开始使用</t>
  </si>
  <si>
    <r>
      <rPr>
        <sz val="10"/>
        <rFont val="Microsoft YaHei UI"/>
        <charset val="134"/>
      </rPr>
      <t xml:space="preserve">1. 通过四步引导帮助用户完成工具接入。
2. 支持选择目标工具并展示对应配置步骤。
3. 可在引导中直接跳转到设置页生成 Key。
</t>
    </r>
    <r>
      <rPr>
        <b/>
        <sz val="10"/>
        <rFont val="Microsoft YaHei UI"/>
        <charset val="134"/>
      </rPr>
      <t>异常：</t>
    </r>
    <r>
      <rPr>
        <sz val="10"/>
        <rFont val="Microsoft YaHei UI"/>
        <charset val="134"/>
      </rPr>
      <t>1. 中途关闭引导后应允许再次进入。
2. 跳转设置页失败时提示稍后重试。</t>
    </r>
  </si>
  <si>
    <t>39</t>
  </si>
  <si>
    <t>会员勋章 / 成就反馈</t>
  </si>
  <si>
    <t>1. 会员勋章详情
2. 成就点亮反馈</t>
  </si>
  <si>
    <r>
      <rPr>
        <sz val="10"/>
        <rFont val="Microsoft YaHei UI"/>
        <charset val="134"/>
      </rPr>
      <t xml:space="preserve">1. 展示会员勋章来源、有效期、每日额度和分享文案。
2. 成就点亮或升级后弹出反馈卡片，支持一键分享。
</t>
    </r>
    <r>
      <rPr>
        <b/>
        <sz val="10"/>
        <rFont val="Microsoft YaHei UI"/>
        <charset val="134"/>
      </rPr>
      <t>异常：</t>
    </r>
    <r>
      <rPr>
        <sz val="10"/>
        <rFont val="Microsoft YaHei UI"/>
        <charset val="134"/>
      </rPr>
      <t>1. 当前设备不支持系统分享时降级为复制文案。
2. 勋章数据缺失时只展示基础提示，不影响关闭弹窗。</t>
    </r>
  </si>
  <si>
    <t>40</t>
  </si>
  <si>
    <t>安装页</t>
  </si>
  <si>
    <t>工具安装引导与进度</t>
  </si>
  <si>
    <t>1. 工具选择
2. 四步安装引导
3. 下载进度展示
4. 安装完成确认</t>
  </si>
  <si>
    <t>1. 选择目标 AI 工具后进入安装引导，按【安装工具】【获取 Key】【配置模型】【开始使用】四步完成接入。
2. 下载过程中展示安装包名称、下载进度、已下载大小；下载完成后点击【安装完成】进入下一步。
3. 支持从引导中直达设置页生成 Key，并继续完成后续配置。
异常：1. 下载失败或中断时提示网络异常并允许重试。
2. 用户中途关闭引导后应支持再次进入，不丢失当前工具选择。
3. 下载未完成前不应展示安装成功或可使用状态。</t>
  </si>
  <si>
    <t>41</t>
  </si>
  <si>
    <t>卸载页</t>
  </si>
  <si>
    <t>工具卸载确认与结果反馈</t>
  </si>
  <si>
    <t>1. 卸载风险提醒
2. 保留配置选择
3. 二次确认卸载
4. 卸载完成反馈</t>
  </si>
  <si>
    <t>1. 用户在已安装工具上发起卸载时，先展示将移除本地客户端，但可选择保留平台配置和模型映射。
2. 二次确认后执行卸载，完成后更新工具状态为【未安装】，并保留重新安装入口。
3. 卸载完成后提示本次结果、剩余配置状态和重新安装指引。
异常：1. 卸载过程中断时保留原安装状态，并提示用户稍后重试。
2. 本地进程仍在运行时禁止直接卸载，需先关闭对应工具。
3. 卸载失败但部分文件已删除时，应提示修复建议，避免状态显示错误。</t>
  </si>
  <si>
    <t>项目</t>
  </si>
  <si>
    <t>说明</t>
  </si>
  <si>
    <t>节假日日期</t>
  </si>
  <si>
    <t>表格用途</t>
  </si>
  <si>
    <t>用于按功能点跟踪整体交付进度，只看统一起止时间和结果状态，不拆研发内部个人工时。</t>
  </si>
  <si>
    <t>在 D 列从第 2 行开始填写需要排除的节假日日期；历时（天）会自动排除周六、周日以及这里维护的日期。</t>
  </si>
  <si>
    <t>计划开始日期</t>
  </si>
  <si>
    <t>该功能统一启动时间，由技术团队内部自行协调前后端或客户端开工顺序。</t>
  </si>
  <si>
    <t>计划整体交付截止日</t>
  </si>
  <si>
    <t>前端、后端、客户端共同确认的最终交付时间，只填一个统一日期。</t>
  </si>
  <si>
    <t>全部自测、联调完成并可视为真实落地后的日期。通常在状态变更为已上线时填写。</t>
  </si>
  <si>
    <t>固定口径：待评估 / 未开始 / 开发中 / 自测完成 / 已提测 / 已上线 / 延期调整。</t>
  </si>
  <si>
    <t>状态定义</t>
  </si>
  <si>
    <t>待评估：方案或工期未确认。未开始：已确认要做但未开工。开发中：研发或联调进行中。自测完成：研发已完成自测。已提测：已提交测试。已上线：正式发布完成。延期调整：确认无法按原截止日交付。</t>
  </si>
  <si>
    <t>按期交付可留空。若预判延期，必须提前填写，推荐格式：延期原因｜影响说明｜新预估交付时间。</t>
  </si>
  <si>
    <t>延期原因分类</t>
  </si>
  <si>
    <t>可选分类：跨项目挤占工时 / 技术卡点 / 外部依赖 / 需求微调。</t>
  </si>
  <si>
    <t>执行建议</t>
  </si>
  <si>
    <t>建议周会前统一更新一次；如果预计无法按截止日完成，应立即将状态调整为延期调整并同步新时间。</t>
  </si>
  <si>
    <t>是否扩展字段</t>
  </si>
  <si>
    <t>如果你后续确实需要更细管理，可以追加负责人字段；当前模板先按核心管理字段落地。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</si>
</sst>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25">
    <font>
      <sz val="10"/>
      <color rgb="FF1F2937"/>
      <name val="Microsoft YaHei UI"/>
      <charset val="134"/>
    </font>
    <font>
      <b/>
      <sz val="10"/>
      <color rgb="FFFFFFFF"/>
      <name val="Microsoft YaHei UI"/>
      <charset val="134"/>
    </font>
    <font>
      <b/>
      <sz val="10"/>
      <color rgb="FF111827"/>
      <name val="Microsoft YaHei UI"/>
      <charset val="134"/>
    </font>
    <font>
      <sz val="10"/>
      <name val="Microsoft YaHei UI"/>
      <charset val="134"/>
    </font>
    <font>
      <b/>
      <sz val="10"/>
      <name val="Microsoft YaHei U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D4ED8"/>
        <bgColor indexed="64"/>
      </patternFill>
    </fill>
    <fill>
      <patternFill patternType="solid">
        <fgColor rgb="FFDBEA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0">
    <xf numFmtId="0" fontId="0" fillId="0" borderId="0" xfId="0" applyAlignment="1">
      <alignment vertical="top" wrapText="1"/>
    </xf>
    <xf numFmtId="0" fontId="1" fillId="2" borderId="0" xfId="0" applyFont="1" applyFill="1" applyAlignment="1">
      <alignment horizontal="center" vertical="center" wrapText="1"/>
    </xf>
    <xf numFmtId="0" fontId="2" fillId="3" borderId="0" xfId="0" applyFont="1" applyFill="1" applyAlignment="1">
      <alignment vertical="center" wrapText="1"/>
    </xf>
    <xf numFmtId="14" fontId="0" fillId="0" borderId="0" xfId="0" applyNumberFormat="1" applyAlignment="1">
      <alignment horizontal="center"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xf numFmtId="0" fontId="1" fillId="2" borderId="0" xfId="0" applyFont="1" applyFill="1" applyAlignment="1">
      <alignment horizontal="left" vertical="center" wrapText="1"/>
    </xf>
    <xf numFmtId="176" fontId="0" fillId="0" borderId="0" xfId="0" applyNumberFormat="1"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8559"/>
  <sheetViews>
    <sheetView tabSelected="1" zoomScale="115" zoomScaleNormal="115" workbookViewId="0">
      <pane ySplit="1" topLeftCell="A2" activePane="bottomLeft" state="frozen"/>
      <selection/>
      <selection pane="bottomLeft" activeCell="F10" sqref="F10"/>
    </sheetView>
  </sheetViews>
  <sheetFormatPr defaultColWidth="9" defaultRowHeight="15"/>
  <cols>
    <col min="1" max="1" width="8" style="5" customWidth="1"/>
    <col min="2" max="3" width="16" style="5" customWidth="1"/>
    <col min="4" max="4" width="22" style="4" customWidth="1"/>
    <col min="5" max="5" width="58.4" style="4" customWidth="1"/>
    <col min="6" max="8" width="15" style="5" customWidth="1"/>
    <col min="9" max="11" width="14" style="5" customWidth="1"/>
    <col min="12" max="12" width="36" style="5" customWidth="1"/>
    <col min="13" max="16384" width="9" style="5"/>
  </cols>
  <sheetData>
    <row r="1" ht="31.2" customHeight="1" spans="1:12">
      <c r="A1" s="1" t="s">
        <v>0</v>
      </c>
      <c r="B1" s="1" t="s">
        <v>1</v>
      </c>
      <c r="C1" s="1" t="s">
        <v>2</v>
      </c>
      <c r="D1" s="6" t="s">
        <v>3</v>
      </c>
      <c r="E1" s="6" t="s">
        <v>4</v>
      </c>
      <c r="F1" s="1" t="s">
        <v>5</v>
      </c>
      <c r="G1" s="1" t="s">
        <v>6</v>
      </c>
      <c r="H1" s="1" t="s">
        <v>7</v>
      </c>
      <c r="I1" s="1" t="s">
        <v>8</v>
      </c>
      <c r="J1" s="1" t="s">
        <v>9</v>
      </c>
      <c r="K1" s="1" t="s">
        <v>10</v>
      </c>
      <c r="L1" s="1" t="s">
        <v>11</v>
      </c>
    </row>
    <row r="2" ht="126" customHeight="1" spans="1:12">
      <c r="A2" s="5" t="s">
        <v>12</v>
      </c>
      <c r="B2" s="5" t="s">
        <v>13</v>
      </c>
      <c r="C2" s="5" t="s">
        <v>14</v>
      </c>
      <c r="D2" s="4" t="s">
        <v>15</v>
      </c>
      <c r="E2" s="4" t="s">
        <v>16</v>
      </c>
      <c r="F2" s="7">
        <v>46226</v>
      </c>
      <c r="G2" s="7">
        <v>46226</v>
      </c>
      <c r="H2" s="7">
        <v>46227</v>
      </c>
      <c r="I2" s="5">
        <f>IF(OR(G2="",H2="",H2&lt;G2),"",_xlfn.NETWORKDAYS.INTL(G2,H2,1,填写说明!$D$2:$D$200))</f>
        <v>2</v>
      </c>
    </row>
    <row r="3" ht="102" customHeight="1" spans="1:12">
      <c r="A3" s="5" t="s">
        <v>17</v>
      </c>
      <c r="B3" s="5" t="s">
        <v>18</v>
      </c>
      <c r="C3" s="5" t="s">
        <v>19</v>
      </c>
      <c r="D3" s="4" t="s">
        <v>20</v>
      </c>
      <c r="E3" s="8" t="s">
        <v>21</v>
      </c>
      <c r="F3" s="7">
        <v>46227</v>
      </c>
      <c r="G3" s="7">
        <v>46227</v>
      </c>
      <c r="H3" s="7">
        <v>46229</v>
      </c>
      <c r="I3" s="5">
        <f>IF(OR(G3="",H3="",H3&lt;G3),"",_xlfn.NETWORKDAYS.INTL(G3,H3,1,填写说明!$D$2:$D$200))</f>
        <v>1</v>
      </c>
      <c r="K3" s="5" t="s">
        <v>22</v>
      </c>
      <c r="L3" s="5" t="s">
        <v>22</v>
      </c>
    </row>
    <row r="4" ht="207" customHeight="1" spans="1:12">
      <c r="A4" s="5" t="s">
        <v>23</v>
      </c>
      <c r="B4" s="5" t="s">
        <v>18</v>
      </c>
      <c r="C4" s="5" t="s">
        <v>24</v>
      </c>
      <c r="D4" s="4" t="s">
        <v>25</v>
      </c>
      <c r="E4" s="8" t="s">
        <v>26</v>
      </c>
      <c r="F4" s="7">
        <v>46228</v>
      </c>
      <c r="G4" s="7">
        <v>46228</v>
      </c>
      <c r="H4" s="7">
        <v>46229</v>
      </c>
      <c r="I4" s="5">
        <f>IF(OR(G4="",H4="",H4&lt;G4),"",_xlfn.NETWORKDAYS.INTL(G4,H4,1,填写说明!$D$2:$D$200))</f>
        <v>0</v>
      </c>
      <c r="L4" s="5" t="s">
        <v>22</v>
      </c>
    </row>
    <row r="5" ht="282" customHeight="1" spans="1:12">
      <c r="A5" s="5" t="s">
        <v>27</v>
      </c>
      <c r="B5" s="5" t="s">
        <v>18</v>
      </c>
      <c r="C5" s="5" t="s">
        <v>28</v>
      </c>
      <c r="D5" s="4" t="s">
        <v>29</v>
      </c>
      <c r="E5" s="8" t="s">
        <v>30</v>
      </c>
      <c r="F5" s="7">
        <v>46297</v>
      </c>
      <c r="G5" s="7">
        <v>46297</v>
      </c>
      <c r="H5" s="7">
        <v>46297</v>
      </c>
      <c r="I5" s="5">
        <f>IF(OR(G5="",H5="",H5&lt;G5),"",_xlfn.NETWORKDAYS.INTL(G5,H5,1,填写说明!$D$2:$D$200))</f>
        <v>1</v>
      </c>
      <c r="K5" s="5" t="s">
        <v>22</v>
      </c>
      <c r="L5" s="5" t="s">
        <v>22</v>
      </c>
    </row>
    <row r="6" ht="249" customHeight="1" spans="1:12">
      <c r="A6" s="5" t="s">
        <v>31</v>
      </c>
      <c r="B6" s="5" t="s">
        <v>18</v>
      </c>
      <c r="C6" s="5"/>
      <c r="D6" s="4" t="s">
        <v>32</v>
      </c>
      <c r="E6" s="8" t="s">
        <v>33</v>
      </c>
      <c r="F6" s="7">
        <v>46298</v>
      </c>
      <c r="G6" s="7">
        <v>46298</v>
      </c>
      <c r="H6" s="7">
        <v>46298</v>
      </c>
      <c r="I6" s="5">
        <f>IF(OR(G6="",H6="",H6&lt;G6),"",_xlfn.NETWORKDAYS.INTL(G6,H6,1,填写说明!$D$2:$D$200))</f>
        <v>0</v>
      </c>
      <c r="K6" s="5" t="s">
        <v>22</v>
      </c>
      <c r="L6" s="5" t="s">
        <v>22</v>
      </c>
    </row>
    <row r="7" ht="102" customHeight="1" spans="1:12">
      <c r="A7" s="5" t="s">
        <v>34</v>
      </c>
      <c r="B7" s="5" t="s">
        <v>18</v>
      </c>
      <c r="C7" s="5" t="s">
        <v>35</v>
      </c>
      <c r="D7" s="4" t="s">
        <v>36</v>
      </c>
      <c r="E7" s="9" t="s">
        <v>37</v>
      </c>
      <c r="F7" s="7">
        <v>46300</v>
      </c>
      <c r="G7" s="7">
        <v>46300</v>
      </c>
      <c r="H7" s="7">
        <v>46300</v>
      </c>
      <c r="I7" s="5">
        <f>IF(OR(G7="",H7="",H7&lt;G7),"",_xlfn.NETWORKDAYS.INTL(G7,H7,1,填写说明!$D$2:$D$200))</f>
        <v>1</v>
      </c>
      <c r="K7" s="5" t="s">
        <v>22</v>
      </c>
      <c r="L7" s="5" t="s">
        <v>22</v>
      </c>
    </row>
    <row r="8" ht="177" customHeight="1" spans="1:12">
      <c r="A8" s="5" t="s">
        <v>38</v>
      </c>
      <c r="B8" s="5" t="s">
        <v>18</v>
      </c>
      <c r="C8" s="5" t="s">
        <v>39</v>
      </c>
      <c r="D8" s="4" t="s">
        <v>40</v>
      </c>
      <c r="E8" s="8" t="s">
        <v>41</v>
      </c>
      <c r="F8" s="7">
        <v>46301</v>
      </c>
      <c r="G8" s="7">
        <v>46301</v>
      </c>
      <c r="H8" s="7">
        <v>46301</v>
      </c>
      <c r="I8" s="5">
        <f>IF(OR(G8="",H8="",H8&lt;G8),"",_xlfn.NETWORKDAYS.INTL(G8,H8,1,填写说明!$D$2:$D$200))</f>
        <v>1</v>
      </c>
      <c r="K8" s="5" t="s">
        <v>22</v>
      </c>
      <c r="L8" s="5" t="s">
        <v>22</v>
      </c>
    </row>
    <row r="9" ht="321" customHeight="1" spans="1:12">
      <c r="A9" s="5" t="s">
        <v>42</v>
      </c>
      <c r="B9" s="5" t="s">
        <v>43</v>
      </c>
      <c r="C9" s="5" t="s">
        <v>44</v>
      </c>
      <c r="D9" s="4" t="s">
        <v>45</v>
      </c>
      <c r="E9" s="8" t="s">
        <v>46</v>
      </c>
      <c r="F9" s="7">
        <v>46302</v>
      </c>
      <c r="G9" s="7">
        <v>46302</v>
      </c>
      <c r="H9" s="7">
        <v>46302</v>
      </c>
      <c r="I9" s="5">
        <f>IF(OR(G9="",H9="",H9&lt;G9),"",_xlfn.NETWORKDAYS.INTL(G9,H9,1,填写说明!$D$2:$D$200))</f>
        <v>1</v>
      </c>
      <c r="K9" s="5" t="s">
        <v>22</v>
      </c>
      <c r="L9" s="5" t="s">
        <v>22</v>
      </c>
    </row>
    <row r="10" ht="146" customHeight="1" spans="1:12">
      <c r="A10" s="5" t="s">
        <v>47</v>
      </c>
      <c r="B10" s="5" t="s">
        <v>48</v>
      </c>
      <c r="C10" s="5" t="s">
        <v>49</v>
      </c>
      <c r="D10" s="4" t="s">
        <v>50</v>
      </c>
      <c r="E10" s="8" t="s">
        <v>51</v>
      </c>
      <c r="F10" s="7">
        <v>46305</v>
      </c>
      <c r="G10" s="7">
        <v>46305</v>
      </c>
      <c r="H10" s="7">
        <v>46305</v>
      </c>
      <c r="I10" s="5">
        <f>IF(OR(G10="",H10="",H10&lt;G10),"",_xlfn.NETWORKDAYS.INTL(G10,H10,1,填写说明!$D$2:$D$200))</f>
        <v>0</v>
      </c>
      <c r="K10" s="5" t="s">
        <v>22</v>
      </c>
      <c r="L10" s="5" t="s">
        <v>22</v>
      </c>
    </row>
    <row r="11" ht="102" customHeight="1" spans="1:12">
      <c r="A11" s="5" t="s">
        <v>52</v>
      </c>
      <c r="B11" s="3" t="s">
        <v>48</v>
      </c>
      <c r="C11" s="5" t="s">
        <v>53</v>
      </c>
      <c r="D11" s="4" t="s">
        <v>54</v>
      </c>
      <c r="E11" s="8" t="s">
        <v>55</v>
      </c>
      <c r="F11" s="7">
        <v>46306</v>
      </c>
      <c r="G11" s="7">
        <v>46306</v>
      </c>
      <c r="H11" s="7">
        <v>46306</v>
      </c>
      <c r="I11" s="5">
        <f>IF(OR(G11="",H11="",H11&lt;G11),"",_xlfn.NETWORKDAYS.INTL(G11,H11,1,填写说明!$D$2:$D$200))</f>
        <v>0</v>
      </c>
      <c r="K11" s="5" t="s">
        <v>22</v>
      </c>
      <c r="L11" s="5" t="s">
        <v>22</v>
      </c>
    </row>
    <row r="12" ht="121" customHeight="1" spans="1:12">
      <c r="A12" s="5" t="s">
        <v>56</v>
      </c>
      <c r="B12" s="5" t="s">
        <v>57</v>
      </c>
      <c r="C12" s="5" t="s">
        <v>58</v>
      </c>
      <c r="D12" s="4" t="s">
        <v>59</v>
      </c>
      <c r="E12" s="9" t="s">
        <v>60</v>
      </c>
      <c r="F12" s="7">
        <v>46307</v>
      </c>
      <c r="G12" s="7">
        <v>46307</v>
      </c>
      <c r="H12" s="7">
        <v>46307</v>
      </c>
      <c r="I12" s="5">
        <f>IF(OR(G12="",H12="",H12&lt;G12),"",_xlfn.NETWORKDAYS.INTL(G12,H12,1,填写说明!$D$2:$D$200))</f>
        <v>1</v>
      </c>
      <c r="K12" s="5" t="s">
        <v>22</v>
      </c>
      <c r="L12" s="5" t="s">
        <v>22</v>
      </c>
    </row>
    <row r="13" ht="126" customHeight="1" spans="1:12">
      <c r="A13" s="5" t="s">
        <v>61</v>
      </c>
      <c r="B13" s="3" t="s">
        <v>57</v>
      </c>
      <c r="C13" s="5" t="s">
        <v>62</v>
      </c>
      <c r="D13" s="4" t="s">
        <v>63</v>
      </c>
      <c r="E13" s="8" t="s">
        <v>64</v>
      </c>
      <c r="F13" s="7">
        <v>46308</v>
      </c>
      <c r="G13" s="7">
        <v>46308</v>
      </c>
      <c r="H13" s="7">
        <v>46308</v>
      </c>
      <c r="I13" s="5">
        <f>IF(OR(G13="",H13="",H13&lt;G13),"",_xlfn.NETWORKDAYS.INTL(G13,H13,1,填写说明!$D$2:$D$200))</f>
        <v>1</v>
      </c>
      <c r="K13" s="5" t="s">
        <v>22</v>
      </c>
      <c r="L13" s="5" t="s">
        <v>22</v>
      </c>
    </row>
    <row r="14" ht="102" customHeight="1" spans="1:12">
      <c r="A14" s="5" t="s">
        <v>65</v>
      </c>
      <c r="B14" s="5" t="s">
        <v>66</v>
      </c>
      <c r="C14" s="5" t="s">
        <v>67</v>
      </c>
      <c r="D14" s="4" t="s">
        <v>68</v>
      </c>
      <c r="E14" s="9" t="s">
        <v>69</v>
      </c>
      <c r="F14" s="7">
        <v>46310</v>
      </c>
      <c r="G14" s="7">
        <v>46310</v>
      </c>
      <c r="H14" s="7">
        <v>46310</v>
      </c>
      <c r="I14" s="5">
        <f>IF(OR(G14="",H14="",H14&lt;G14),"",_xlfn.NETWORKDAYS.INTL(G14,H14,1,填写说明!$D$2:$D$200))</f>
        <v>1</v>
      </c>
      <c r="K14" s="5" t="s">
        <v>22</v>
      </c>
      <c r="L14" s="5" t="s">
        <v>22</v>
      </c>
    </row>
    <row r="15" ht="102" customHeight="1" spans="1:12">
      <c r="A15" s="5" t="s">
        <v>70</v>
      </c>
      <c r="B15" s="3" t="s">
        <v>66</v>
      </c>
      <c r="C15" s="5" t="s">
        <v>71</v>
      </c>
      <c r="D15" s="4" t="s">
        <v>72</v>
      </c>
      <c r="E15" s="9" t="s">
        <v>73</v>
      </c>
      <c r="F15" s="7">
        <v>46311</v>
      </c>
      <c r="G15" s="7">
        <v>46311</v>
      </c>
      <c r="H15" s="7">
        <v>46311</v>
      </c>
      <c r="I15" s="5">
        <f>IF(OR(G15="",H15="",H15&lt;G15),"",_xlfn.NETWORKDAYS.INTL(G15,H15,1,填写说明!$D$2:$D$200))</f>
        <v>1</v>
      </c>
      <c r="K15" s="5" t="s">
        <v>22</v>
      </c>
      <c r="L15" s="5" t="s">
        <v>22</v>
      </c>
    </row>
    <row r="16" ht="102" customHeight="1" spans="1:12">
      <c r="A16" s="5" t="s">
        <v>74</v>
      </c>
      <c r="B16" s="3" t="s">
        <v>66</v>
      </c>
      <c r="C16" s="5" t="s">
        <v>75</v>
      </c>
      <c r="D16" s="4" t="s">
        <v>76</v>
      </c>
      <c r="E16" s="9" t="s">
        <v>77</v>
      </c>
      <c r="F16" s="7">
        <v>46312</v>
      </c>
      <c r="G16" s="7">
        <v>46312</v>
      </c>
      <c r="H16" s="7">
        <v>46312</v>
      </c>
      <c r="I16" s="5">
        <f>IF(OR(G16="",H16="",H16&lt;G16),"",_xlfn.NETWORKDAYS.INTL(G16,H16,1,填写说明!$D$2:$D$200))</f>
        <v>0</v>
      </c>
      <c r="K16" s="5" t="s">
        <v>22</v>
      </c>
      <c r="L16" s="5" t="s">
        <v>22</v>
      </c>
    </row>
    <row r="17" ht="102" customHeight="1" spans="1:12">
      <c r="A17" s="5" t="s">
        <v>78</v>
      </c>
      <c r="B17" s="3" t="s">
        <v>66</v>
      </c>
      <c r="C17" s="5" t="s">
        <v>79</v>
      </c>
      <c r="D17" s="4" t="s">
        <v>80</v>
      </c>
      <c r="E17" s="8" t="s">
        <v>81</v>
      </c>
      <c r="F17" s="7">
        <v>46313</v>
      </c>
      <c r="G17" s="7">
        <v>46313</v>
      </c>
      <c r="H17" s="7">
        <v>46313</v>
      </c>
      <c r="I17" s="5">
        <f>IF(OR(G17="",H17="",H17&lt;G17),"",_xlfn.NETWORKDAYS.INTL(G17,H17,1,填写说明!$D$2:$D$200))</f>
        <v>0</v>
      </c>
      <c r="K17" s="5" t="s">
        <v>22</v>
      </c>
      <c r="L17" s="5" t="s">
        <v>22</v>
      </c>
    </row>
    <row r="18" ht="180" customHeight="1" spans="1:12">
      <c r="A18" s="5" t="s">
        <v>82</v>
      </c>
      <c r="B18" s="3" t="s">
        <v>66</v>
      </c>
      <c r="C18" s="5" t="s">
        <v>83</v>
      </c>
      <c r="D18" s="4" t="s">
        <v>84</v>
      </c>
      <c r="E18" s="9" t="s">
        <v>85</v>
      </c>
      <c r="F18" s="7">
        <v>46314</v>
      </c>
      <c r="G18" s="7">
        <v>46314</v>
      </c>
      <c r="H18" s="7">
        <v>46314</v>
      </c>
      <c r="I18" s="5">
        <f>IF(OR(G18="",H18="",H18&lt;G18),"",_xlfn.NETWORKDAYS.INTL(G18,H18,1,填写说明!$D$2:$D$200))</f>
        <v>1</v>
      </c>
      <c r="K18" s="5" t="s">
        <v>22</v>
      </c>
      <c r="L18" s="5" t="s">
        <v>22</v>
      </c>
    </row>
    <row r="19" ht="123" customHeight="1" spans="1:12">
      <c r="A19" s="5" t="s">
        <v>86</v>
      </c>
      <c r="B19" s="3" t="s">
        <v>66</v>
      </c>
      <c r="C19" s="5" t="s">
        <v>87</v>
      </c>
      <c r="D19" s="4" t="s">
        <v>88</v>
      </c>
      <c r="E19" s="8" t="s">
        <v>89</v>
      </c>
      <c r="F19" s="7">
        <v>46315</v>
      </c>
      <c r="G19" s="7">
        <v>46315</v>
      </c>
      <c r="H19" s="7">
        <v>46315</v>
      </c>
      <c r="I19" s="5">
        <f>IF(OR(G19="",H19="",H19&lt;G19),"",_xlfn.NETWORKDAYS.INTL(G19,H19,1,填写说明!$D$2:$D$200))</f>
        <v>1</v>
      </c>
      <c r="K19" s="5" t="s">
        <v>22</v>
      </c>
      <c r="L19" s="5" t="s">
        <v>22</v>
      </c>
    </row>
    <row r="20" ht="226" customHeight="1" spans="1:12">
      <c r="A20" s="5" t="s">
        <v>90</v>
      </c>
      <c r="B20" s="5" t="s">
        <v>91</v>
      </c>
      <c r="C20" s="5" t="s">
        <v>92</v>
      </c>
      <c r="D20" s="4" t="s">
        <v>93</v>
      </c>
      <c r="E20" s="9" t="s">
        <v>94</v>
      </c>
      <c r="F20" s="7">
        <v>46316</v>
      </c>
      <c r="G20" s="7">
        <v>46316</v>
      </c>
      <c r="H20" s="7">
        <v>46316</v>
      </c>
      <c r="I20" s="5">
        <f>IF(OR(G20="",H20="",H20&lt;G20),"",_xlfn.NETWORKDAYS.INTL(G20,H20,1,填写说明!$D$2:$D$200))</f>
        <v>1</v>
      </c>
      <c r="K20" s="5" t="s">
        <v>22</v>
      </c>
      <c r="L20" s="5" t="s">
        <v>22</v>
      </c>
    </row>
    <row r="21" ht="102" customHeight="1" spans="1:12">
      <c r="A21" s="5" t="s">
        <v>95</v>
      </c>
      <c r="B21" s="3" t="s">
        <v>91</v>
      </c>
      <c r="C21" s="5" t="s">
        <v>96</v>
      </c>
      <c r="D21" s="4" t="s">
        <v>97</v>
      </c>
      <c r="E21" s="9" t="s">
        <v>98</v>
      </c>
      <c r="F21" s="7">
        <v>46317</v>
      </c>
      <c r="G21" s="7">
        <v>46317</v>
      </c>
      <c r="H21" s="7">
        <v>46317</v>
      </c>
      <c r="I21" s="5">
        <f>IF(OR(G21="",H21="",H21&lt;G21),"",_xlfn.NETWORKDAYS.INTL(G21,H21,1,填写说明!$D$2:$D$200))</f>
        <v>1</v>
      </c>
      <c r="K21" s="5" t="s">
        <v>22</v>
      </c>
      <c r="L21" s="5" t="s">
        <v>22</v>
      </c>
    </row>
    <row r="22" ht="136" customHeight="1" spans="1:12">
      <c r="A22" s="5" t="s">
        <v>99</v>
      </c>
      <c r="B22" s="5" t="s">
        <v>100</v>
      </c>
      <c r="C22" s="5" t="s">
        <v>101</v>
      </c>
      <c r="D22" s="4" t="s">
        <v>102</v>
      </c>
      <c r="E22" s="9" t="s">
        <v>103</v>
      </c>
      <c r="F22" s="7">
        <v>46318</v>
      </c>
      <c r="G22" s="7">
        <v>46318</v>
      </c>
      <c r="H22" s="7">
        <v>46318</v>
      </c>
      <c r="I22" s="5">
        <f>IF(OR(G22="",H22="",H22&lt;G22),"",_xlfn.NETWORKDAYS.INTL(G22,H22,1,填写说明!$D$2:$D$200))</f>
        <v>1</v>
      </c>
      <c r="K22" s="5" t="s">
        <v>22</v>
      </c>
      <c r="L22" s="5" t="s">
        <v>22</v>
      </c>
    </row>
    <row r="23" ht="137" customHeight="1" spans="1:12">
      <c r="A23" s="5" t="s">
        <v>104</v>
      </c>
      <c r="B23" s="3" t="s">
        <v>100</v>
      </c>
      <c r="C23" s="5" t="s">
        <v>105</v>
      </c>
      <c r="D23" s="4" t="s">
        <v>106</v>
      </c>
      <c r="E23" s="9" t="s">
        <v>107</v>
      </c>
      <c r="F23" s="7">
        <v>46319</v>
      </c>
      <c r="G23" s="7">
        <v>46319</v>
      </c>
      <c r="H23" s="7">
        <v>46319</v>
      </c>
      <c r="I23" s="5">
        <f>IF(OR(G23="",H23="",H23&lt;G23),"",_xlfn.NETWORKDAYS.INTL(G23,H23,1,填写说明!$D$2:$D$200))</f>
        <v>0</v>
      </c>
      <c r="K23" s="5" t="s">
        <v>22</v>
      </c>
      <c r="L23" s="5" t="s">
        <v>22</v>
      </c>
    </row>
    <row r="24" ht="102" customHeight="1" spans="1:12">
      <c r="A24" s="5" t="s">
        <v>108</v>
      </c>
      <c r="B24" s="5" t="s">
        <v>109</v>
      </c>
      <c r="C24" s="5" t="s">
        <v>110</v>
      </c>
      <c r="D24" s="4" t="s">
        <v>111</v>
      </c>
      <c r="E24" s="9" t="s">
        <v>112</v>
      </c>
      <c r="F24" s="7">
        <v>46320</v>
      </c>
      <c r="G24" s="7">
        <v>46320</v>
      </c>
      <c r="H24" s="7">
        <v>46320</v>
      </c>
      <c r="I24" s="5">
        <f>IF(OR(G24="",H24="",H24&lt;G24),"",_xlfn.NETWORKDAYS.INTL(G24,H24,1,填写说明!$D$2:$D$200))</f>
        <v>0</v>
      </c>
      <c r="K24" s="5" t="s">
        <v>22</v>
      </c>
      <c r="L24" s="5" t="s">
        <v>22</v>
      </c>
    </row>
    <row r="25" ht="102" customHeight="1" spans="1:12">
      <c r="A25" s="5" t="s">
        <v>113</v>
      </c>
      <c r="B25" s="3" t="s">
        <v>109</v>
      </c>
      <c r="C25" s="5" t="s">
        <v>114</v>
      </c>
      <c r="D25" s="4" t="s">
        <v>115</v>
      </c>
      <c r="E25" s="9" t="s">
        <v>116</v>
      </c>
      <c r="F25" s="7">
        <v>46321</v>
      </c>
      <c r="G25" s="7">
        <v>46321</v>
      </c>
      <c r="H25" s="7">
        <v>46321</v>
      </c>
      <c r="I25" s="5">
        <f>IF(OR(G25="",H25="",H25&lt;G25),"",_xlfn.NETWORKDAYS.INTL(G25,H25,1,填写说明!$D$2:$D$200))</f>
        <v>1</v>
      </c>
      <c r="K25" s="5" t="s">
        <v>22</v>
      </c>
      <c r="L25" s="5" t="s">
        <v>22</v>
      </c>
    </row>
    <row r="26" ht="102" customHeight="1" spans="1:12">
      <c r="A26" s="5" t="s">
        <v>117</v>
      </c>
      <c r="B26" s="3" t="s">
        <v>109</v>
      </c>
      <c r="C26" s="5" t="s">
        <v>118</v>
      </c>
      <c r="D26" s="4" t="s">
        <v>119</v>
      </c>
      <c r="E26" s="9" t="s">
        <v>120</v>
      </c>
      <c r="F26" s="7">
        <v>46322</v>
      </c>
      <c r="G26" s="7">
        <v>46322</v>
      </c>
      <c r="H26" s="7">
        <v>46322</v>
      </c>
      <c r="I26" s="5">
        <f>IF(OR(G26="",H26="",H26&lt;G26),"",_xlfn.NETWORKDAYS.INTL(G26,H26,1,填写说明!$D$2:$D$200))</f>
        <v>1</v>
      </c>
      <c r="K26" s="5" t="s">
        <v>22</v>
      </c>
      <c r="L26" s="5" t="s">
        <v>22</v>
      </c>
    </row>
    <row r="27" ht="102" customHeight="1" spans="1:12">
      <c r="A27" s="5" t="s">
        <v>121</v>
      </c>
      <c r="B27" s="3" t="s">
        <v>109</v>
      </c>
      <c r="C27" s="5" t="s">
        <v>122</v>
      </c>
      <c r="D27" s="4" t="s">
        <v>123</v>
      </c>
      <c r="E27" s="9" t="s">
        <v>124</v>
      </c>
      <c r="F27" s="7">
        <v>46323</v>
      </c>
      <c r="G27" s="7">
        <v>46323</v>
      </c>
      <c r="H27" s="7">
        <v>46323</v>
      </c>
      <c r="I27" s="5">
        <f>IF(OR(G27="",H27="",H27&lt;G27),"",_xlfn.NETWORKDAYS.INTL(G27,H27,1,填写说明!$D$2:$D$200))</f>
        <v>1</v>
      </c>
      <c r="K27" s="5" t="s">
        <v>22</v>
      </c>
      <c r="L27" s="5" t="s">
        <v>22</v>
      </c>
    </row>
    <row r="28" ht="102" customHeight="1" spans="1:12">
      <c r="A28" s="5" t="s">
        <v>125</v>
      </c>
      <c r="B28" s="3" t="s">
        <v>109</v>
      </c>
      <c r="C28" s="5" t="s">
        <v>126</v>
      </c>
      <c r="D28" s="4" t="s">
        <v>127</v>
      </c>
      <c r="E28" s="9" t="s">
        <v>128</v>
      </c>
      <c r="F28" s="7">
        <v>46324</v>
      </c>
      <c r="G28" s="7">
        <v>46324</v>
      </c>
      <c r="H28" s="7">
        <v>46324</v>
      </c>
      <c r="I28" s="5">
        <f>IF(OR(G28="",H28="",H28&lt;G28),"",_xlfn.NETWORKDAYS.INTL(G28,H28,1,填写说明!$D$2:$D$200))</f>
        <v>1</v>
      </c>
      <c r="K28" s="5" t="s">
        <v>22</v>
      </c>
      <c r="L28" s="5" t="s">
        <v>22</v>
      </c>
    </row>
    <row r="29" ht="102" customHeight="1" spans="1:12">
      <c r="A29" s="5" t="s">
        <v>129</v>
      </c>
      <c r="B29" s="5" t="s">
        <v>130</v>
      </c>
      <c r="C29" s="5" t="s">
        <v>131</v>
      </c>
      <c r="D29" s="4" t="s">
        <v>132</v>
      </c>
      <c r="E29" s="9" t="s">
        <v>133</v>
      </c>
      <c r="F29" s="7">
        <v>46325</v>
      </c>
      <c r="G29" s="7">
        <v>46325</v>
      </c>
      <c r="H29" s="7">
        <v>46325</v>
      </c>
      <c r="I29" s="5">
        <f>IF(OR(G29="",H29="",H29&lt;G29),"",_xlfn.NETWORKDAYS.INTL(G29,H29,1,填写说明!$D$2:$D$200))</f>
        <v>1</v>
      </c>
      <c r="K29" s="5" t="s">
        <v>22</v>
      </c>
      <c r="L29" s="5" t="s">
        <v>22</v>
      </c>
    </row>
    <row r="30" ht="102" customHeight="1" spans="1:12">
      <c r="A30" s="5" t="s">
        <v>134</v>
      </c>
      <c r="B30" s="3" t="s">
        <v>130</v>
      </c>
      <c r="C30" s="5" t="s">
        <v>135</v>
      </c>
      <c r="D30" s="4" t="s">
        <v>136</v>
      </c>
      <c r="E30" s="9" t="s">
        <v>137</v>
      </c>
      <c r="F30" s="7">
        <v>46326</v>
      </c>
      <c r="G30" s="7">
        <v>46326</v>
      </c>
      <c r="H30" s="7">
        <v>46326</v>
      </c>
      <c r="I30" s="5">
        <f>IF(OR(G30="",H30="",H30&lt;G30),"",_xlfn.NETWORKDAYS.INTL(G30,H30,1,填写说明!$D$2:$D$200))</f>
        <v>0</v>
      </c>
      <c r="K30" s="5" t="s">
        <v>22</v>
      </c>
      <c r="L30" s="5" t="s">
        <v>22</v>
      </c>
    </row>
    <row r="31" ht="102" customHeight="1" spans="1:12">
      <c r="A31" s="5" t="s">
        <v>138</v>
      </c>
      <c r="B31" s="3" t="s">
        <v>130</v>
      </c>
      <c r="C31" s="5" t="s">
        <v>139</v>
      </c>
      <c r="D31" s="4" t="s">
        <v>140</v>
      </c>
      <c r="E31" s="9" t="s">
        <v>141</v>
      </c>
      <c r="F31" s="7">
        <v>46327</v>
      </c>
      <c r="G31" s="7">
        <v>46327</v>
      </c>
      <c r="H31" s="7">
        <v>46327</v>
      </c>
      <c r="I31" s="5">
        <f>IF(OR(G31="",H31="",H31&lt;G31),"",_xlfn.NETWORKDAYS.INTL(G31,H31,1,填写说明!$D$2:$D$200))</f>
        <v>0</v>
      </c>
      <c r="K31" s="5" t="s">
        <v>22</v>
      </c>
      <c r="L31" s="5" t="s">
        <v>22</v>
      </c>
    </row>
    <row r="32" ht="102" customHeight="1" spans="1:12">
      <c r="A32" s="5" t="s">
        <v>142</v>
      </c>
      <c r="B32" s="3" t="s">
        <v>130</v>
      </c>
      <c r="C32" s="5" t="s">
        <v>143</v>
      </c>
      <c r="D32" s="4" t="s">
        <v>144</v>
      </c>
      <c r="E32" s="9" t="s">
        <v>145</v>
      </c>
      <c r="F32" s="7">
        <v>46329</v>
      </c>
      <c r="G32" s="7">
        <v>46329</v>
      </c>
      <c r="H32" s="7">
        <v>46329</v>
      </c>
      <c r="I32" s="5">
        <f>IF(OR(G32="",H32="",H32&lt;G32),"",_xlfn.NETWORKDAYS.INTL(G32,H32,1,填写说明!$D$2:$D$200))</f>
        <v>1</v>
      </c>
      <c r="K32" s="5" t="s">
        <v>22</v>
      </c>
      <c r="L32" s="5" t="s">
        <v>22</v>
      </c>
    </row>
    <row r="33" ht="102" customHeight="1" spans="1:12">
      <c r="A33" s="5" t="s">
        <v>146</v>
      </c>
      <c r="B33" s="3" t="s">
        <v>130</v>
      </c>
      <c r="C33" s="5" t="s">
        <v>147</v>
      </c>
      <c r="D33" s="4" t="s">
        <v>148</v>
      </c>
      <c r="E33" s="9" t="s">
        <v>149</v>
      </c>
      <c r="F33" s="7">
        <v>46330</v>
      </c>
      <c r="G33" s="7">
        <v>46330</v>
      </c>
      <c r="H33" s="7">
        <v>46330</v>
      </c>
      <c r="I33" s="5">
        <f>IF(OR(G33="",H33="",H33&lt;G33),"",_xlfn.NETWORKDAYS.INTL(G33,H33,1,填写说明!$D$2:$D$200))</f>
        <v>1</v>
      </c>
      <c r="K33" s="5" t="s">
        <v>22</v>
      </c>
      <c r="L33" s="5" t="s">
        <v>22</v>
      </c>
    </row>
    <row r="34" ht="102" customHeight="1" spans="1:12">
      <c r="A34" s="5" t="s">
        <v>150</v>
      </c>
      <c r="B34" s="3" t="s">
        <v>130</v>
      </c>
      <c r="C34" s="5" t="s">
        <v>151</v>
      </c>
      <c r="D34" s="4" t="s">
        <v>152</v>
      </c>
      <c r="E34" s="9" t="s">
        <v>153</v>
      </c>
      <c r="F34" s="7">
        <v>46331</v>
      </c>
      <c r="G34" s="7">
        <v>46331</v>
      </c>
      <c r="H34" s="7">
        <v>46331</v>
      </c>
      <c r="I34" s="5">
        <f>IF(OR(G34="",H34="",H34&lt;G34),"",_xlfn.NETWORKDAYS.INTL(G34,H34,1,填写说明!$D$2:$D$200))</f>
        <v>1</v>
      </c>
      <c r="K34" s="5" t="s">
        <v>22</v>
      </c>
      <c r="L34" s="5" t="s">
        <v>22</v>
      </c>
    </row>
    <row r="35" ht="102" customHeight="1" spans="1:12">
      <c r="A35" s="5" t="s">
        <v>154</v>
      </c>
      <c r="B35" s="3" t="s">
        <v>130</v>
      </c>
      <c r="C35" s="5" t="s">
        <v>155</v>
      </c>
      <c r="D35" s="4" t="s">
        <v>156</v>
      </c>
      <c r="E35" s="9" t="s">
        <v>157</v>
      </c>
      <c r="F35" s="7">
        <v>46332</v>
      </c>
      <c r="G35" s="7">
        <v>46332</v>
      </c>
      <c r="H35" s="7">
        <v>46332</v>
      </c>
      <c r="I35" s="5">
        <f>IF(OR(G35="",H35="",H35&lt;G35),"",_xlfn.NETWORKDAYS.INTL(G35,H35,1,填写说明!$D$2:$D$200))</f>
        <v>1</v>
      </c>
      <c r="K35" s="5" t="s">
        <v>22</v>
      </c>
      <c r="L35" s="5" t="s">
        <v>22</v>
      </c>
    </row>
    <row r="36" ht="126" customHeight="1" spans="1:12">
      <c r="A36" s="5" t="s">
        <v>158</v>
      </c>
      <c r="B36" s="5" t="s">
        <v>159</v>
      </c>
      <c r="C36" s="5" t="s">
        <v>160</v>
      </c>
      <c r="D36" s="4" t="s">
        <v>161</v>
      </c>
      <c r="E36" s="4" t="s">
        <v>162</v>
      </c>
      <c r="F36" s="7">
        <v>46333</v>
      </c>
      <c r="G36" s="7">
        <v>46333</v>
      </c>
      <c r="H36" s="7">
        <v>46333</v>
      </c>
      <c r="I36" s="5">
        <f>IF(OR(G36="",H36="",H36&lt;G36),"",_xlfn.NETWORKDAYS.INTL(G36,H36,1,填写说明!$D$2:$D$200))</f>
        <v>0</v>
      </c>
    </row>
    <row r="37" ht="126" customHeight="1" spans="1:12">
      <c r="A37" s="5" t="s">
        <v>163</v>
      </c>
      <c r="B37" s="5" t="s">
        <v>164</v>
      </c>
      <c r="C37" s="5" t="s">
        <v>165</v>
      </c>
      <c r="D37" s="4" t="s">
        <v>166</v>
      </c>
      <c r="E37" s="4" t="s">
        <v>167</v>
      </c>
      <c r="F37" s="7">
        <v>46334</v>
      </c>
      <c r="G37" s="7">
        <v>46334</v>
      </c>
      <c r="H37" s="7">
        <v>46334</v>
      </c>
      <c r="I37" s="5">
        <f>IF(OR(G37="",H37="",H37&lt;G37),"",_xlfn.NETWORKDAYS.INTL(G37,H37,1,填写说明!$D$2:$D$200))</f>
        <v>0</v>
      </c>
    </row>
  </sheetData>
  <mergeCells count="10">
    <mergeCell ref="B3:B8"/>
    <mergeCell ref="B10:B11"/>
    <mergeCell ref="B12:B13"/>
    <mergeCell ref="B14:B19"/>
    <mergeCell ref="B20:B21"/>
    <mergeCell ref="B22:B23"/>
    <mergeCell ref="B24:B28"/>
    <mergeCell ref="B29:B35"/>
    <mergeCell ref="B38:B1048559"/>
    <mergeCell ref="C5:C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0"/>
  <sheetViews>
    <sheetView workbookViewId="0">
      <selection activeCell="A1" sqref="A1"/>
    </sheetView>
  </sheetViews>
  <sheetFormatPr defaultColWidth="9" defaultRowHeight="15" outlineLevelCol="4"/>
  <cols>
    <col min="1" max="1" width="22" customWidth="1"/>
    <col min="2" max="2" width="72" customWidth="1"/>
    <col min="4" max="4" width="16" customWidth="1"/>
    <col min="5" max="5" width="42" customWidth="1"/>
  </cols>
  <sheetData>
    <row r="1" ht="15.6" spans="1:5">
      <c r="A1" s="1" t="s">
        <v>168</v>
      </c>
      <c r="B1" s="1" t="s">
        <v>169</v>
      </c>
      <c r="D1" s="1" t="s">
        <v>170</v>
      </c>
      <c r="E1" s="1" t="s">
        <v>169</v>
      </c>
    </row>
    <row r="2" ht="30" spans="1:5">
      <c r="A2" s="2" t="s">
        <v>171</v>
      </c>
      <c r="B2" t="s">
        <v>172</v>
      </c>
      <c r="D2" s="3"/>
      <c r="E2" s="4" t="s">
        <v>173</v>
      </c>
    </row>
    <row r="3" ht="15.6" spans="1:5">
      <c r="A3" s="2" t="s">
        <v>174</v>
      </c>
      <c r="B3" t="s">
        <v>175</v>
      </c>
      <c r="D3" s="3"/>
    </row>
    <row r="4" ht="15.6" spans="1:5">
      <c r="A4" s="2" t="s">
        <v>176</v>
      </c>
      <c r="B4" t="s">
        <v>177</v>
      </c>
      <c r="D4" s="3"/>
    </row>
    <row r="5" ht="15.6" spans="1:5">
      <c r="A5" s="2" t="s">
        <v>7</v>
      </c>
      <c r="B5" t="s">
        <v>178</v>
      </c>
      <c r="D5" s="3"/>
    </row>
    <row r="6" ht="15.6" spans="1:5">
      <c r="A6" s="2" t="s">
        <v>10</v>
      </c>
      <c r="B6" t="s">
        <v>179</v>
      </c>
      <c r="D6" s="3"/>
    </row>
    <row r="7" ht="45" spans="1:5">
      <c r="A7" s="2" t="s">
        <v>180</v>
      </c>
      <c r="B7" t="s">
        <v>181</v>
      </c>
      <c r="D7" s="3"/>
    </row>
    <row r="8" ht="30" spans="1:5">
      <c r="A8" s="2" t="s">
        <v>11</v>
      </c>
      <c r="B8" t="s">
        <v>182</v>
      </c>
      <c r="D8" s="3"/>
    </row>
    <row r="9" ht="15.6" spans="1:5">
      <c r="A9" s="2" t="s">
        <v>183</v>
      </c>
      <c r="B9" t="s">
        <v>184</v>
      </c>
      <c r="D9" s="3"/>
    </row>
    <row r="10" ht="30" spans="1:5">
      <c r="A10" s="2" t="s">
        <v>185</v>
      </c>
      <c r="B10" t="s">
        <v>186</v>
      </c>
      <c r="D10" s="3"/>
    </row>
    <row r="11" ht="15.6" spans="1:5">
      <c r="A11" s="2" t="s">
        <v>187</v>
      </c>
      <c r="B11" t="s">
        <v>188</v>
      </c>
      <c r="D11" s="3"/>
    </row>
    <row r="12" spans="1:5">
      <c r="D12" s="3"/>
    </row>
    <row r="13" spans="1:5">
      <c r="D13" s="3"/>
    </row>
    <row r="14" spans="1:5">
      <c r="D14" s="3"/>
    </row>
    <row r="15" spans="1:5">
      <c r="D15" s="3"/>
    </row>
    <row r="16" spans="1:5">
      <c r="D16" s="3"/>
    </row>
    <row r="17" spans="4:4">
      <c r="D17" s="3"/>
    </row>
    <row r="18" spans="4:4">
      <c r="D18" s="3"/>
    </row>
    <row r="19" spans="4:4">
      <c r="D19" s="3"/>
    </row>
    <row r="20" spans="4:4">
      <c r="D20" s="3"/>
    </row>
    <row r="21" spans="4:4">
      <c r="D21" s="3"/>
    </row>
    <row r="22" spans="4:4">
      <c r="D22" s="3"/>
    </row>
    <row r="23" spans="4:4">
      <c r="D23" s="3"/>
    </row>
    <row r="24" spans="4:4">
      <c r="D24" s="3"/>
    </row>
    <row r="25" spans="4:4">
      <c r="D25" s="3"/>
    </row>
    <row r="26" spans="4:4">
      <c r="D26" s="3"/>
    </row>
    <row r="27" spans="4:4">
      <c r="D27" s="3"/>
    </row>
    <row r="28" spans="4:4">
      <c r="D28" s="3"/>
    </row>
    <row r="29" spans="4:4">
      <c r="D29" s="3"/>
    </row>
    <row r="30" spans="4:4">
      <c r="D30" s="3"/>
    </row>
    <row r="31" spans="4:4">
      <c r="D31" s="3"/>
    </row>
    <row r="32" spans="4:4">
      <c r="D32" s="3"/>
    </row>
    <row r="33" spans="4:4">
      <c r="D33" s="3"/>
    </row>
    <row r="34" spans="4:4">
      <c r="D34" s="3"/>
    </row>
    <row r="35" spans="4:4">
      <c r="D35" s="3"/>
    </row>
    <row r="36" spans="4:4">
      <c r="D36" s="3"/>
    </row>
    <row r="37" spans="4:4">
      <c r="D37" s="3"/>
    </row>
    <row r="38" spans="4:4">
      <c r="D38" s="3"/>
    </row>
    <row r="39" spans="4:4">
      <c r="D39" s="3"/>
    </row>
    <row r="40" spans="4:4">
      <c r="D40" s="3"/>
    </row>
    <row r="41" spans="4:4">
      <c r="D41" s="3"/>
    </row>
    <row r="42" spans="4:4">
      <c r="D42" s="3"/>
    </row>
    <row r="43" spans="4:4">
      <c r="D43" s="3"/>
    </row>
    <row r="44" spans="4:4">
      <c r="D44" s="3"/>
    </row>
    <row r="45" spans="4:4">
      <c r="D45" s="3"/>
    </row>
    <row r="46" spans="4:4">
      <c r="D46" s="3"/>
    </row>
    <row r="47" spans="4:4">
      <c r="D47" s="3"/>
    </row>
    <row r="48" spans="4:4">
      <c r="D48" s="3"/>
    </row>
    <row r="49" spans="4:4">
      <c r="D49" s="3"/>
    </row>
    <row r="50" spans="4:4">
      <c r="D50" s="3"/>
    </row>
    <row r="51" spans="4:4">
      <c r="D51" s="3"/>
    </row>
    <row r="52" spans="4:4">
      <c r="D52" s="3"/>
    </row>
    <row r="53" spans="4:4">
      <c r="D53" s="3"/>
    </row>
    <row r="54" spans="4:4">
      <c r="D54" s="3"/>
    </row>
    <row r="55" spans="4:4">
      <c r="D55" s="3"/>
    </row>
    <row r="56" spans="4:4">
      <c r="D56" s="3"/>
    </row>
    <row r="57" spans="4:4">
      <c r="D57" s="3"/>
    </row>
    <row r="58" spans="4:4">
      <c r="D58" s="3"/>
    </row>
    <row r="59" spans="4:4">
      <c r="D59" s="3"/>
    </row>
    <row r="60" spans="4:4">
      <c r="D60" s="3"/>
    </row>
    <row r="61" spans="4:4">
      <c r="D61" s="3"/>
    </row>
    <row r="62" spans="4:4">
      <c r="D62" s="3"/>
    </row>
    <row r="63" spans="4:4">
      <c r="D63" s="3"/>
    </row>
    <row r="64" spans="4:4">
      <c r="D64" s="3"/>
    </row>
    <row r="65" spans="4:4">
      <c r="D65" s="3"/>
    </row>
    <row r="66" spans="4:4">
      <c r="D66" s="3"/>
    </row>
    <row r="67" spans="4:4">
      <c r="D67" s="3"/>
    </row>
    <row r="68" spans="4:4">
      <c r="D68" s="3"/>
    </row>
    <row r="69" spans="4:4">
      <c r="D69" s="3"/>
    </row>
    <row r="70" spans="4:4">
      <c r="D70" s="3"/>
    </row>
    <row r="71" spans="4:4">
      <c r="D71" s="3"/>
    </row>
    <row r="72" spans="4:4">
      <c r="D72" s="3"/>
    </row>
    <row r="73" spans="4:4">
      <c r="D73" s="3"/>
    </row>
    <row r="74" spans="4:4">
      <c r="D74" s="3"/>
    </row>
    <row r="75" spans="4:4">
      <c r="D75" s="3"/>
    </row>
    <row r="76" spans="4:4">
      <c r="D76" s="3"/>
    </row>
    <row r="77" spans="4:4">
      <c r="D77" s="3"/>
    </row>
    <row r="78" spans="4:4">
      <c r="D78" s="3"/>
    </row>
    <row r="79" spans="4:4">
      <c r="D79" s="3"/>
    </row>
    <row r="80" spans="4:4">
      <c r="D80" s="3"/>
    </row>
    <row r="81" spans="4:4">
      <c r="D81" s="3"/>
    </row>
    <row r="82" spans="4:4">
      <c r="D82" s="3"/>
    </row>
    <row r="83" spans="4:4">
      <c r="D83" s="3"/>
    </row>
    <row r="84" spans="4:4">
      <c r="D84" s="3"/>
    </row>
    <row r="85" spans="4:4">
      <c r="D85" s="3"/>
    </row>
    <row r="86" spans="4:4">
      <c r="D86" s="3"/>
    </row>
    <row r="87" spans="4:4">
      <c r="D87" s="3"/>
    </row>
    <row r="88" spans="4:4">
      <c r="D88" s="3"/>
    </row>
    <row r="89" spans="4:4">
      <c r="D89" s="3"/>
    </row>
    <row r="90" spans="4:4">
      <c r="D90" s="3"/>
    </row>
    <row r="91" spans="4:4">
      <c r="D91" s="3"/>
    </row>
    <row r="92" spans="4:4">
      <c r="D92" s="3"/>
    </row>
    <row r="93" spans="4:4">
      <c r="D93" s="3"/>
    </row>
    <row r="94" spans="4:4">
      <c r="D94" s="3"/>
    </row>
    <row r="95" spans="4:4">
      <c r="D95" s="3"/>
    </row>
    <row r="96" spans="4:4">
      <c r="D96" s="3"/>
    </row>
    <row r="97" spans="4:4">
      <c r="D97" s="3"/>
    </row>
    <row r="98" spans="4:4">
      <c r="D98" s="3"/>
    </row>
    <row r="99" spans="4:4">
      <c r="D99" s="3"/>
    </row>
    <row r="100" spans="4:4">
      <c r="D100" s="3"/>
    </row>
    <row r="101" spans="4:4">
      <c r="D101" s="3"/>
    </row>
    <row r="102" spans="4:4">
      <c r="D102" s="3"/>
    </row>
    <row r="103" spans="4:4">
      <c r="D103" s="3"/>
    </row>
    <row r="104" spans="4:4">
      <c r="D104" s="3"/>
    </row>
    <row r="105" spans="4:4">
      <c r="D105" s="3"/>
    </row>
    <row r="106" spans="4:4">
      <c r="D106" s="3"/>
    </row>
    <row r="107" spans="4:4">
      <c r="D107" s="3"/>
    </row>
    <row r="108" spans="4:4">
      <c r="D108" s="3"/>
    </row>
    <row r="109" spans="4:4">
      <c r="D109" s="3"/>
    </row>
    <row r="110" spans="4:4">
      <c r="D110" s="3"/>
    </row>
    <row r="111" spans="4:4">
      <c r="D111" s="3"/>
    </row>
    <row r="112" spans="4:4">
      <c r="D112" s="3"/>
    </row>
    <row r="113" spans="4:4">
      <c r="D113" s="3"/>
    </row>
    <row r="114" spans="4:4">
      <c r="D114" s="3"/>
    </row>
    <row r="115" spans="4:4">
      <c r="D115" s="3"/>
    </row>
    <row r="116" spans="4:4">
      <c r="D116" s="3"/>
    </row>
    <row r="117" spans="4:4">
      <c r="D117" s="3"/>
    </row>
    <row r="118" spans="4:4">
      <c r="D118" s="3"/>
    </row>
    <row r="119" spans="4:4">
      <c r="D119" s="3"/>
    </row>
    <row r="120" spans="4:4">
      <c r="D120" s="3"/>
    </row>
    <row r="121" spans="4:4">
      <c r="D121" s="3"/>
    </row>
    <row r="122" spans="4:4">
      <c r="D122" s="3"/>
    </row>
    <row r="123" spans="4:4">
      <c r="D123" s="3"/>
    </row>
    <row r="124" spans="4:4">
      <c r="D124" s="3"/>
    </row>
    <row r="125" spans="4:4">
      <c r="D125" s="3"/>
    </row>
    <row r="126" spans="4:4">
      <c r="D126" s="3"/>
    </row>
    <row r="127" spans="4:4">
      <c r="D127" s="3"/>
    </row>
    <row r="128" spans="4:4">
      <c r="D128" s="3"/>
    </row>
    <row r="129" spans="4:4">
      <c r="D129" s="3"/>
    </row>
    <row r="130" spans="4:4">
      <c r="D130" s="3"/>
    </row>
    <row r="131" spans="4:4">
      <c r="D131" s="3"/>
    </row>
    <row r="132" spans="4:4">
      <c r="D132" s="3"/>
    </row>
    <row r="133" spans="4:4">
      <c r="D133" s="3"/>
    </row>
    <row r="134" spans="4:4">
      <c r="D134" s="3"/>
    </row>
    <row r="135" spans="4:4">
      <c r="D135" s="3"/>
    </row>
    <row r="136" spans="4:4">
      <c r="D136" s="3"/>
    </row>
    <row r="137" spans="4:4">
      <c r="D137" s="3"/>
    </row>
    <row r="138" spans="4:4">
      <c r="D138" s="3"/>
    </row>
    <row r="139" spans="4:4">
      <c r="D139" s="3"/>
    </row>
    <row r="140" spans="4:4">
      <c r="D140" s="3"/>
    </row>
    <row r="141" spans="4:4">
      <c r="D141" s="3"/>
    </row>
    <row r="142" spans="4:4">
      <c r="D142" s="3"/>
    </row>
    <row r="143" spans="4:4">
      <c r="D143" s="3"/>
    </row>
    <row r="144" spans="4:4">
      <c r="D144" s="3"/>
    </row>
    <row r="145" spans="4:4">
      <c r="D145" s="3"/>
    </row>
    <row r="146" spans="4:4">
      <c r="D146" s="3"/>
    </row>
    <row r="147" spans="4:4">
      <c r="D147" s="3"/>
    </row>
    <row r="148" spans="4:4">
      <c r="D148" s="3"/>
    </row>
    <row r="149" spans="4:4">
      <c r="D149" s="3"/>
    </row>
    <row r="150" spans="4:4">
      <c r="D150" s="3"/>
    </row>
    <row r="151" spans="4:4">
      <c r="D151" s="3"/>
    </row>
    <row r="152" spans="4:4">
      <c r="D152" s="3"/>
    </row>
    <row r="153" spans="4:4">
      <c r="D153" s="3"/>
    </row>
    <row r="154" spans="4:4">
      <c r="D154" s="3"/>
    </row>
    <row r="155" spans="4:4">
      <c r="D155" s="3"/>
    </row>
    <row r="156" spans="4:4">
      <c r="D156" s="3"/>
    </row>
    <row r="157" spans="4:4">
      <c r="D157" s="3"/>
    </row>
    <row r="158" spans="4:4">
      <c r="D158" s="3"/>
    </row>
    <row r="159" spans="4:4">
      <c r="D159" s="3"/>
    </row>
    <row r="160" spans="4:4">
      <c r="D160" s="3"/>
    </row>
    <row r="161" spans="4:4">
      <c r="D161" s="3"/>
    </row>
    <row r="162" spans="4:4">
      <c r="D162" s="3"/>
    </row>
    <row r="163" spans="4:4">
      <c r="D163" s="3"/>
    </row>
    <row r="164" spans="4:4">
      <c r="D164" s="3"/>
    </row>
    <row r="165" spans="4:4">
      <c r="D165" s="3"/>
    </row>
    <row r="166" spans="4:4">
      <c r="D166" s="3"/>
    </row>
    <row r="167" spans="4:4">
      <c r="D167" s="3"/>
    </row>
    <row r="168" spans="4:4">
      <c r="D168" s="3"/>
    </row>
    <row r="169" spans="4:4">
      <c r="D169" s="3"/>
    </row>
    <row r="170" spans="4:4">
      <c r="D170" s="3"/>
    </row>
    <row r="171" spans="4:4">
      <c r="D171" s="3"/>
    </row>
    <row r="172" spans="4:4">
      <c r="D172" s="3"/>
    </row>
    <row r="173" spans="4:4">
      <c r="D173" s="3"/>
    </row>
    <row r="174" spans="4:4">
      <c r="D174" s="3"/>
    </row>
    <row r="175" spans="4:4">
      <c r="D175" s="3"/>
    </row>
    <row r="176" spans="4:4">
      <c r="D176" s="3"/>
    </row>
    <row r="177" spans="4:4">
      <c r="D177" s="3"/>
    </row>
    <row r="178" spans="4:4">
      <c r="D178" s="3"/>
    </row>
    <row r="179" spans="4:4">
      <c r="D179" s="3"/>
    </row>
    <row r="180" spans="4:4">
      <c r="D180" s="3"/>
    </row>
    <row r="181" spans="4:4">
      <c r="D181" s="3"/>
    </row>
    <row r="182" spans="4:4">
      <c r="D182" s="3"/>
    </row>
    <row r="183" spans="4:4">
      <c r="D183" s="3"/>
    </row>
    <row r="184" spans="4:4">
      <c r="D184" s="3"/>
    </row>
    <row r="185" spans="4:4">
      <c r="D185" s="3"/>
    </row>
    <row r="186" spans="4:4">
      <c r="D186" s="3"/>
    </row>
    <row r="187" spans="4:4">
      <c r="D187" s="3"/>
    </row>
    <row r="188" spans="4:4">
      <c r="D188" s="3"/>
    </row>
    <row r="189" spans="4:4">
      <c r="D189" s="3"/>
    </row>
    <row r="190" spans="4:4">
      <c r="D190" s="3"/>
    </row>
    <row r="191" spans="4:4">
      <c r="D191" s="3"/>
    </row>
    <row r="192" spans="4:4">
      <c r="D192" s="3"/>
    </row>
    <row r="193" spans="4:4">
      <c r="D193" s="3"/>
    </row>
    <row r="194" spans="4:4">
      <c r="D194" s="3"/>
    </row>
    <row r="195" spans="4:4">
      <c r="D195" s="3"/>
    </row>
    <row r="196" spans="4:4">
      <c r="D196" s="3"/>
    </row>
    <row r="197" spans="4:4">
      <c r="D197" s="3"/>
    </row>
    <row r="198" spans="4:4">
      <c r="D198" s="3"/>
    </row>
    <row r="199" spans="4:4">
      <c r="D199" s="3"/>
    </row>
    <row r="200" spans="4:4">
      <c r="D200"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功能进度表</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雷大人</cp:lastModifiedBy>
  <dcterms:created xsi:type="dcterms:W3CDTF">2026-07-23T00:00:00Z</dcterms:created>
  <dcterms:modified xsi:type="dcterms:W3CDTF">2026-07-23T16:32:15Z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43C6B370B0034E71BDE31EB025D92384_12</vt:lpwstr>
  </property>
  <property fmtid="{D5CDD505-2E9C-101B-9397-08002B2CF9AE}" pid="3" name="KSOProductBuildVer">
    <vt:lpwstr>2052-12.1.0.26899</vt:lpwstr>
  </property>
  <property fmtid="{D5CDD505-2E9C-101B-9397-08002B2CF9AE}" pid="4" name="CalculationRule">
    <vt:i4>0</vt:i4>
  </property>
</Properties>
</file>